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s\Marcio\09 ABR\"/>
    </mc:Choice>
  </mc:AlternateContent>
  <xr:revisionPtr revIDLastSave="0" documentId="13_ncr:1_{68D123EC-9EA7-4C7D-81C3-11808CDBD0D0}" xr6:coauthVersionLast="36" xr6:coauthVersionMax="36" xr10:uidLastSave="{00000000-0000-0000-0000-000000000000}"/>
  <bookViews>
    <workbookView xWindow="0" yWindow="0" windowWidth="24000" windowHeight="9525" activeTab="4" xr2:uid="{A8EFE757-E27E-4E38-95C4-959D72705FCD}"/>
  </bookViews>
  <sheets>
    <sheet name="Tabela" sheetId="3" r:id="rId1"/>
    <sheet name="Compras" sheetId="5" r:id="rId2"/>
    <sheet name="Tabela Números" sheetId="6" r:id="rId3"/>
    <sheet name="Tabela Funções" sheetId="7" r:id="rId4"/>
    <sheet name="PROCV" sheetId="8" r:id="rId5"/>
  </sheets>
  <definedNames>
    <definedName name="_xlnm._FilterDatabase" localSheetId="1" hidden="1">Compras!$I$7:$M$27</definedName>
    <definedName name="_xlnm._FilterDatabase" localSheetId="0" hidden="1">Tabela!$J$8:$N$28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3" i="8"/>
  <c r="C3" i="8"/>
  <c r="D3" i="8"/>
  <c r="E3" i="8"/>
  <c r="F3" i="8"/>
  <c r="G3" i="8"/>
  <c r="H3" i="8"/>
  <c r="I3" i="8"/>
  <c r="J3" i="8"/>
  <c r="K3" i="8"/>
  <c r="L3" i="8"/>
  <c r="M3" i="8"/>
  <c r="C4" i="8"/>
  <c r="D4" i="8"/>
  <c r="E4" i="8"/>
  <c r="F4" i="8"/>
  <c r="G4" i="8"/>
  <c r="H4" i="8"/>
  <c r="I4" i="8"/>
  <c r="J4" i="8"/>
  <c r="K4" i="8"/>
  <c r="L4" i="8"/>
  <c r="M4" i="8"/>
  <c r="C5" i="8"/>
  <c r="D5" i="8"/>
  <c r="E5" i="8"/>
  <c r="F5" i="8"/>
  <c r="G5" i="8"/>
  <c r="H5" i="8"/>
  <c r="I5" i="8"/>
  <c r="J5" i="8"/>
  <c r="K5" i="8"/>
  <c r="L5" i="8"/>
  <c r="M5" i="8"/>
  <c r="C6" i="8"/>
  <c r="D6" i="8"/>
  <c r="E6" i="8"/>
  <c r="F6" i="8"/>
  <c r="G6" i="8"/>
  <c r="H6" i="8"/>
  <c r="I6" i="8"/>
  <c r="J6" i="8"/>
  <c r="K6" i="8"/>
  <c r="L6" i="8"/>
  <c r="M6" i="8"/>
  <c r="C7" i="8"/>
  <c r="D7" i="8"/>
  <c r="E7" i="8"/>
  <c r="F7" i="8"/>
  <c r="G7" i="8"/>
  <c r="H7" i="8"/>
  <c r="I7" i="8"/>
  <c r="J7" i="8"/>
  <c r="K7" i="8"/>
  <c r="L7" i="8"/>
  <c r="M7" i="8"/>
  <c r="C8" i="8"/>
  <c r="D8" i="8"/>
  <c r="E8" i="8"/>
  <c r="F8" i="8"/>
  <c r="G8" i="8"/>
  <c r="H8" i="8"/>
  <c r="I8" i="8"/>
  <c r="J8" i="8"/>
  <c r="K8" i="8"/>
  <c r="L8" i="8"/>
  <c r="M8" i="8"/>
  <c r="C9" i="8"/>
  <c r="D9" i="8"/>
  <c r="E9" i="8"/>
  <c r="F9" i="8"/>
  <c r="G9" i="8"/>
  <c r="H9" i="8"/>
  <c r="I9" i="8"/>
  <c r="J9" i="8"/>
  <c r="K9" i="8"/>
  <c r="L9" i="8"/>
  <c r="M9" i="8"/>
  <c r="C10" i="8"/>
  <c r="D10" i="8"/>
  <c r="E10" i="8"/>
  <c r="F10" i="8"/>
  <c r="G10" i="8"/>
  <c r="H10" i="8"/>
  <c r="I10" i="8"/>
  <c r="J10" i="8"/>
  <c r="K10" i="8"/>
  <c r="L10" i="8"/>
  <c r="M10" i="8"/>
  <c r="C11" i="8"/>
  <c r="D11" i="8"/>
  <c r="E11" i="8"/>
  <c r="F11" i="8"/>
  <c r="G11" i="8"/>
  <c r="H11" i="8"/>
  <c r="I11" i="8"/>
  <c r="J11" i="8"/>
  <c r="K11" i="8"/>
  <c r="L11" i="8"/>
  <c r="M11" i="8"/>
  <c r="C12" i="8"/>
  <c r="D12" i="8"/>
  <c r="E12" i="8"/>
  <c r="F12" i="8"/>
  <c r="G12" i="8"/>
  <c r="H12" i="8"/>
  <c r="I12" i="8"/>
  <c r="J12" i="8"/>
  <c r="K12" i="8"/>
  <c r="L12" i="8"/>
  <c r="M12" i="8"/>
  <c r="C13" i="8"/>
  <c r="D13" i="8"/>
  <c r="E13" i="8"/>
  <c r="F13" i="8"/>
  <c r="G13" i="8"/>
  <c r="H13" i="8"/>
  <c r="I13" i="8"/>
  <c r="J13" i="8"/>
  <c r="K13" i="8"/>
  <c r="L13" i="8"/>
  <c r="M13" i="8"/>
  <c r="C14" i="8"/>
  <c r="D14" i="8"/>
  <c r="E14" i="8"/>
  <c r="F14" i="8"/>
  <c r="G14" i="8"/>
  <c r="H14" i="8"/>
  <c r="I14" i="8"/>
  <c r="J14" i="8"/>
  <c r="K14" i="8"/>
  <c r="L14" i="8"/>
  <c r="M14" i="8"/>
  <c r="C15" i="8"/>
  <c r="D15" i="8"/>
  <c r="E15" i="8"/>
  <c r="F15" i="8"/>
  <c r="G15" i="8"/>
  <c r="H15" i="8"/>
  <c r="I15" i="8"/>
  <c r="J15" i="8"/>
  <c r="K15" i="8"/>
  <c r="L15" i="8"/>
  <c r="M15" i="8"/>
  <c r="C16" i="8"/>
  <c r="D16" i="8"/>
  <c r="E16" i="8"/>
  <c r="F16" i="8"/>
  <c r="G16" i="8"/>
  <c r="H16" i="8"/>
  <c r="I16" i="8"/>
  <c r="J16" i="8"/>
  <c r="K16" i="8"/>
  <c r="L16" i="8"/>
  <c r="M16" i="8"/>
  <c r="C17" i="8"/>
  <c r="D17" i="8"/>
  <c r="E17" i="8"/>
  <c r="F17" i="8"/>
  <c r="G17" i="8"/>
  <c r="H17" i="8"/>
  <c r="I17" i="8"/>
  <c r="J17" i="8"/>
  <c r="K17" i="8"/>
  <c r="L17" i="8"/>
  <c r="M17" i="8"/>
  <c r="C18" i="8"/>
  <c r="D18" i="8"/>
  <c r="E18" i="8"/>
  <c r="F18" i="8"/>
  <c r="G18" i="8"/>
  <c r="H18" i="8"/>
  <c r="I18" i="8"/>
  <c r="J18" i="8"/>
  <c r="K18" i="8"/>
  <c r="L18" i="8"/>
  <c r="M18" i="8"/>
  <c r="C19" i="8"/>
  <c r="D19" i="8"/>
  <c r="E19" i="8"/>
  <c r="F19" i="8"/>
  <c r="G19" i="8"/>
  <c r="H19" i="8"/>
  <c r="I19" i="8"/>
  <c r="J19" i="8"/>
  <c r="K19" i="8"/>
  <c r="L19" i="8"/>
  <c r="M19" i="8"/>
  <c r="C20" i="8"/>
  <c r="D20" i="8"/>
  <c r="E20" i="8"/>
  <c r="F20" i="8"/>
  <c r="G20" i="8"/>
  <c r="H20" i="8"/>
  <c r="I20" i="8"/>
  <c r="J20" i="8"/>
  <c r="K20" i="8"/>
  <c r="L20" i="8"/>
  <c r="M20" i="8"/>
  <c r="C21" i="8"/>
  <c r="D21" i="8"/>
  <c r="E21" i="8"/>
  <c r="F21" i="8"/>
  <c r="G21" i="8"/>
  <c r="H21" i="8"/>
  <c r="I21" i="8"/>
  <c r="J21" i="8"/>
  <c r="K21" i="8"/>
  <c r="L21" i="8"/>
  <c r="M21" i="8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H6" i="6"/>
  <c r="H7" i="6"/>
  <c r="H8" i="6"/>
  <c r="H9" i="6"/>
  <c r="H10" i="6"/>
  <c r="H11" i="6"/>
  <c r="H12" i="6"/>
  <c r="H13" i="6"/>
  <c r="H14" i="6"/>
  <c r="H15" i="6"/>
  <c r="H16" i="6"/>
  <c r="G7" i="6"/>
  <c r="G8" i="6"/>
  <c r="G9" i="6"/>
  <c r="G10" i="6"/>
  <c r="G11" i="6"/>
  <c r="G12" i="6"/>
  <c r="G13" i="6"/>
  <c r="G14" i="6"/>
  <c r="G15" i="6"/>
  <c r="G16" i="6"/>
  <c r="G6" i="6"/>
  <c r="P3" i="8" l="1"/>
  <c r="P17" i="8"/>
  <c r="P13" i="8"/>
  <c r="P9" i="8"/>
  <c r="P5" i="8"/>
  <c r="P10" i="8"/>
  <c r="P21" i="8"/>
  <c r="P20" i="8"/>
  <c r="P16" i="8"/>
  <c r="P8" i="8"/>
  <c r="P4" i="8"/>
  <c r="P15" i="8"/>
  <c r="P11" i="8"/>
  <c r="P7" i="8"/>
  <c r="P12" i="8"/>
  <c r="P19" i="8"/>
  <c r="P18" i="8"/>
  <c r="P14" i="8"/>
  <c r="P6" i="8"/>
  <c r="N21" i="8"/>
  <c r="O21" i="8" s="1"/>
  <c r="N17" i="8"/>
  <c r="O17" i="8" s="1"/>
  <c r="N13" i="8"/>
  <c r="O13" i="8" s="1"/>
  <c r="N9" i="8"/>
  <c r="O9" i="8" s="1"/>
  <c r="N5" i="8"/>
  <c r="O5" i="8" s="1"/>
  <c r="N20" i="8"/>
  <c r="O20" i="8" s="1"/>
  <c r="N16" i="8"/>
  <c r="O16" i="8" s="1"/>
  <c r="N12" i="8"/>
  <c r="O12" i="8" s="1"/>
  <c r="N8" i="8"/>
  <c r="O8" i="8" s="1"/>
  <c r="N4" i="8"/>
  <c r="O4" i="8" s="1"/>
  <c r="N19" i="8"/>
  <c r="O19" i="8" s="1"/>
  <c r="N15" i="8"/>
  <c r="O15" i="8" s="1"/>
  <c r="N11" i="8"/>
  <c r="O11" i="8" s="1"/>
  <c r="N7" i="8"/>
  <c r="O7" i="8" s="1"/>
  <c r="N18" i="8"/>
  <c r="O18" i="8" s="1"/>
  <c r="N14" i="8"/>
  <c r="O14" i="8" s="1"/>
  <c r="N10" i="8"/>
  <c r="O10" i="8" s="1"/>
  <c r="N6" i="8"/>
  <c r="O6" i="8" s="1"/>
  <c r="N3" i="8"/>
  <c r="O3" i="8" s="1"/>
  <c r="N11" i="7"/>
  <c r="N5" i="7"/>
  <c r="N7" i="7"/>
  <c r="N9" i="7"/>
  <c r="N13" i="7"/>
  <c r="N15" i="7"/>
  <c r="N6" i="7"/>
  <c r="N8" i="7"/>
  <c r="N10" i="7"/>
  <c r="N12" i="7"/>
  <c r="N14" i="7"/>
  <c r="M7" i="7"/>
  <c r="M11" i="7"/>
  <c r="M13" i="7"/>
  <c r="M15" i="7"/>
  <c r="M6" i="7"/>
  <c r="M10" i="7"/>
  <c r="M9" i="7"/>
  <c r="M14" i="7"/>
  <c r="M8" i="7"/>
  <c r="M12" i="7"/>
  <c r="M5" i="7"/>
  <c r="K5" i="7"/>
  <c r="K7" i="7"/>
  <c r="K9" i="7"/>
  <c r="K11" i="7"/>
  <c r="K13" i="7"/>
  <c r="K15" i="7"/>
  <c r="L6" i="7"/>
  <c r="L10" i="7"/>
  <c r="L14" i="7"/>
  <c r="L8" i="7"/>
  <c r="L12" i="7"/>
  <c r="L13" i="7"/>
  <c r="L9" i="7"/>
  <c r="K6" i="7"/>
  <c r="K8" i="7"/>
  <c r="K10" i="7"/>
  <c r="K12" i="7"/>
  <c r="K14" i="7"/>
  <c r="L15" i="7"/>
  <c r="L11" i="7"/>
  <c r="L7" i="7"/>
  <c r="L5" i="7"/>
  <c r="G15" i="7"/>
  <c r="G6" i="7"/>
  <c r="J15" i="7"/>
  <c r="J7" i="7"/>
  <c r="J9" i="7"/>
  <c r="J11" i="7"/>
  <c r="J13" i="7"/>
  <c r="J6" i="7"/>
  <c r="J8" i="7"/>
  <c r="J12" i="7"/>
  <c r="J14" i="7"/>
  <c r="G11" i="7"/>
  <c r="G5" i="7"/>
  <c r="H7" i="7"/>
  <c r="G9" i="7"/>
  <c r="H11" i="7"/>
  <c r="G13" i="7"/>
  <c r="G7" i="7"/>
  <c r="G8" i="7"/>
  <c r="G10" i="7"/>
  <c r="H12" i="7"/>
  <c r="J10" i="7"/>
  <c r="H6" i="7"/>
  <c r="H10" i="7"/>
  <c r="G12" i="7"/>
  <c r="G14" i="7"/>
  <c r="H14" i="7"/>
  <c r="H8" i="7"/>
  <c r="H15" i="7"/>
  <c r="H5" i="7"/>
  <c r="H9" i="7"/>
  <c r="H13" i="7"/>
  <c r="I15" i="7"/>
  <c r="I5" i="7"/>
  <c r="I7" i="7"/>
  <c r="I9" i="7"/>
  <c r="I11" i="7"/>
  <c r="I13" i="7"/>
  <c r="J5" i="7"/>
  <c r="I6" i="7"/>
  <c r="I8" i="7"/>
  <c r="I10" i="7"/>
  <c r="I12" i="7"/>
  <c r="I14" i="7"/>
  <c r="J15" i="6"/>
  <c r="J11" i="6"/>
  <c r="L13" i="6"/>
  <c r="J7" i="6"/>
  <c r="L9" i="6"/>
  <c r="J10" i="6"/>
  <c r="L6" i="6"/>
  <c r="J14" i="6"/>
  <c r="L16" i="6"/>
  <c r="L12" i="6"/>
  <c r="L8" i="6"/>
  <c r="I10" i="6"/>
  <c r="I16" i="6"/>
  <c r="I8" i="6"/>
  <c r="J13" i="6"/>
  <c r="J9" i="6"/>
  <c r="I14" i="6"/>
  <c r="J16" i="6"/>
  <c r="J12" i="6"/>
  <c r="J8" i="6"/>
  <c r="I12" i="6"/>
  <c r="I9" i="6"/>
  <c r="I7" i="6"/>
  <c r="L14" i="6"/>
  <c r="L11" i="6"/>
  <c r="L7" i="6"/>
  <c r="K16" i="6"/>
  <c r="K15" i="6"/>
  <c r="K14" i="6"/>
  <c r="K13" i="6"/>
  <c r="K12" i="6"/>
  <c r="K11" i="6"/>
  <c r="K10" i="6"/>
  <c r="K9" i="6"/>
  <c r="K8" i="6"/>
  <c r="K7" i="6"/>
  <c r="I15" i="6"/>
  <c r="I13" i="6"/>
  <c r="I11" i="6"/>
  <c r="L15" i="6"/>
  <c r="L10" i="6"/>
  <c r="J6" i="6"/>
  <c r="K6" i="6"/>
  <c r="I6" i="6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8" i="5"/>
  <c r="M10" i="3"/>
  <c r="N10" i="3"/>
  <c r="M11" i="3"/>
  <c r="N11" i="3"/>
  <c r="M12" i="3"/>
  <c r="N12" i="3"/>
  <c r="M13" i="3"/>
  <c r="N13" i="3"/>
  <c r="M14" i="3"/>
  <c r="N14" i="3"/>
  <c r="M15" i="3"/>
  <c r="N15" i="3"/>
  <c r="M16" i="3"/>
  <c r="N16" i="3"/>
  <c r="M17" i="3"/>
  <c r="N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N9" i="3"/>
  <c r="M9" i="3"/>
  <c r="L10" i="3"/>
  <c r="K9" i="5" s="1"/>
  <c r="L11" i="3"/>
  <c r="K10" i="5" s="1"/>
  <c r="L12" i="3"/>
  <c r="K11" i="5" s="1"/>
  <c r="L13" i="3"/>
  <c r="K12" i="5" s="1"/>
  <c r="L14" i="3"/>
  <c r="K13" i="5" s="1"/>
  <c r="L15" i="3"/>
  <c r="K14" i="5" s="1"/>
  <c r="L16" i="3"/>
  <c r="K15" i="5" s="1"/>
  <c r="L17" i="3"/>
  <c r="K16" i="5" s="1"/>
  <c r="L18" i="3"/>
  <c r="K17" i="5" s="1"/>
  <c r="L19" i="3"/>
  <c r="K18" i="5" s="1"/>
  <c r="L20" i="3"/>
  <c r="K19" i="5" s="1"/>
  <c r="L21" i="3"/>
  <c r="K20" i="5" s="1"/>
  <c r="L22" i="3"/>
  <c r="K21" i="5" s="1"/>
  <c r="L23" i="3"/>
  <c r="K22" i="5" s="1"/>
  <c r="L24" i="3"/>
  <c r="K23" i="5" s="1"/>
  <c r="L25" i="3"/>
  <c r="K24" i="5" s="1"/>
  <c r="L26" i="3"/>
  <c r="K25" i="5" s="1"/>
  <c r="L27" i="3"/>
  <c r="K26" i="5" s="1"/>
  <c r="L28" i="3"/>
  <c r="K27" i="5" s="1"/>
  <c r="L9" i="3"/>
  <c r="K8" i="5" s="1"/>
  <c r="M11" i="5" l="1"/>
  <c r="M19" i="5"/>
  <c r="M8" i="5"/>
  <c r="M26" i="5"/>
  <c r="M20" i="5"/>
  <c r="M13" i="5"/>
  <c r="M17" i="5"/>
  <c r="M21" i="5"/>
  <c r="M25" i="5"/>
  <c r="M27" i="5"/>
  <c r="M23" i="5"/>
  <c r="M12" i="5"/>
  <c r="M10" i="5"/>
  <c r="M18" i="5"/>
  <c r="M16" i="5"/>
  <c r="M24" i="5"/>
  <c r="M15" i="5"/>
  <c r="M9" i="5"/>
  <c r="M14" i="5"/>
  <c r="M22" i="5"/>
  <c r="I30" i="5" l="1"/>
</calcChain>
</file>

<file path=xl/sharedStrings.xml><?xml version="1.0" encoding="utf-8"?>
<sst xmlns="http://schemas.openxmlformats.org/spreadsheetml/2006/main" count="83" uniqueCount="74">
  <si>
    <t>Cod. Produto</t>
  </si>
  <si>
    <t>Descrição</t>
  </si>
  <si>
    <t>Valor und.</t>
  </si>
  <si>
    <t>Qtd. Min</t>
  </si>
  <si>
    <t>Qtd. Max</t>
  </si>
  <si>
    <t>Fone de Ouvido Noise Cancelling Pro</t>
  </si>
  <si>
    <t>Soundbar Surround 5.1</t>
  </si>
  <si>
    <t>Caixa de Som Bluetooth À Prova D'água</t>
  </si>
  <si>
    <t>Microfone Condensador USB</t>
  </si>
  <si>
    <t>Mouse Gamer RGB 12.000 DPI</t>
  </si>
  <si>
    <t>Teclado Mecânico Compacto (60%)</t>
  </si>
  <si>
    <t>Monitor UltraWide 34"</t>
  </si>
  <si>
    <t>Webcam Full HD 1080p</t>
  </si>
  <si>
    <t>Smartwatch Sport Edition</t>
  </si>
  <si>
    <t>Carregador por Indução 15W</t>
  </si>
  <si>
    <t>Smartphone Z-Series</t>
  </si>
  <si>
    <t>Power Bank 20.000mAh</t>
  </si>
  <si>
    <t>SSD NVMe 1TB</t>
  </si>
  <si>
    <t>Placa de Vídeo RTX Next-Gen</t>
  </si>
  <si>
    <t>Memória RAM 16GB DDR5</t>
  </si>
  <si>
    <t>Roteador Wi-Fi 6 Mesh</t>
  </si>
  <si>
    <t>Lâmpada Inteligente Wi-Fi</t>
  </si>
  <si>
    <t>Fechadura Eletrônica Biométrica</t>
  </si>
  <si>
    <t>Hub de Automação Residencial</t>
  </si>
  <si>
    <t>Adaptador Hub USB-C 7 em 1</t>
  </si>
  <si>
    <t>Qtd Compra</t>
  </si>
  <si>
    <t>Total</t>
  </si>
  <si>
    <t>Total do Pedido</t>
  </si>
  <si>
    <t>Informações de Produtos</t>
  </si>
  <si>
    <t>Controle de Compras</t>
  </si>
  <si>
    <t>Nmr 1</t>
  </si>
  <si>
    <t>Nmr 2</t>
  </si>
  <si>
    <t>Soma</t>
  </si>
  <si>
    <t>Subtração</t>
  </si>
  <si>
    <t>Multiplicação</t>
  </si>
  <si>
    <t>Divisão</t>
  </si>
  <si>
    <t>Média</t>
  </si>
  <si>
    <t>Máximo</t>
  </si>
  <si>
    <t>Mínimo</t>
  </si>
  <si>
    <t>Condições</t>
  </si>
  <si>
    <t>Arroz</t>
  </si>
  <si>
    <t>Feijão</t>
  </si>
  <si>
    <t>Macarrão</t>
  </si>
  <si>
    <t>Açúcar</t>
  </si>
  <si>
    <t>Café</t>
  </si>
  <si>
    <t>Óleo de soja</t>
  </si>
  <si>
    <t>Sal</t>
  </si>
  <si>
    <t>Farinha de trigo</t>
  </si>
  <si>
    <t>Molho de tomate</t>
  </si>
  <si>
    <t>Milho e ervilha</t>
  </si>
  <si>
    <t>Batata</t>
  </si>
  <si>
    <t>Cebola</t>
  </si>
  <si>
    <t>Alho</t>
  </si>
  <si>
    <t>Tomate</t>
  </si>
  <si>
    <t>Cenoura</t>
  </si>
  <si>
    <t>Alface</t>
  </si>
  <si>
    <t>Banana</t>
  </si>
  <si>
    <t>Maçã</t>
  </si>
  <si>
    <t>Limão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</si>
  <si>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</si>
  <si>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</si>
  <si>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</si>
  <si>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</si>
  <si>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</si>
  <si>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</si>
  <si>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</si>
  <si>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</si>
  <si>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</si>
  <si>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</si>
  <si>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</si>
  <si>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</si>
  <si>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</si>
  <si>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SITUAÇÃO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</si>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</sst>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72" formatCode="0.000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36"/>
      <color theme="0"/>
      <name val="Arial"/>
      <family val="2"/>
    </font>
    <font>
      <sz val="48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3DEF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164" fontId="1" fillId="2" borderId="0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164" fontId="1" fillId="2" borderId="7" xfId="0" applyNumberFormat="1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0" xfId="0" applyFont="1" applyFill="1" applyBorder="1" applyAlignment="1">
      <alignment horizontal="left"/>
    </xf>
    <xf numFmtId="164" fontId="1" fillId="2" borderId="5" xfId="0" applyNumberFormat="1" applyFont="1" applyFill="1" applyBorder="1" applyAlignment="1">
      <alignment horizontal="left"/>
    </xf>
    <xf numFmtId="164" fontId="1" fillId="2" borderId="8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7" fillId="2" borderId="0" xfId="0" applyFont="1" applyFill="1"/>
    <xf numFmtId="0" fontId="7" fillId="6" borderId="0" xfId="0" applyFont="1" applyFill="1" applyAlignment="1">
      <alignment horizontal="center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center" vertical="center"/>
    </xf>
    <xf numFmtId="172" fontId="7" fillId="2" borderId="18" xfId="0" applyNumberFormat="1" applyFont="1" applyFill="1" applyBorder="1" applyAlignment="1">
      <alignment horizontal="center" vertical="center"/>
    </xf>
    <xf numFmtId="1" fontId="7" fillId="2" borderId="18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7" fillId="2" borderId="0" xfId="0" applyFont="1" applyFill="1" applyAlignment="1"/>
    <xf numFmtId="0" fontId="7" fillId="2" borderId="0" xfId="0" applyFont="1" applyFill="1" applyBorder="1"/>
    <xf numFmtId="0" fontId="9" fillId="9" borderId="18" xfId="0" applyFont="1" applyFill="1" applyBorder="1" applyAlignment="1">
      <alignment horizontal="center" vertical="center" wrapText="1" readingOrder="1"/>
    </xf>
    <xf numFmtId="0" fontId="5" fillId="10" borderId="18" xfId="0" applyFont="1" applyFill="1" applyBorder="1" applyAlignment="1">
      <alignment horizontal="center"/>
    </xf>
    <xf numFmtId="0" fontId="10" fillId="10" borderId="18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left" vertical="center"/>
    </xf>
    <xf numFmtId="0" fontId="6" fillId="8" borderId="23" xfId="0" applyFont="1" applyFill="1" applyBorder="1" applyAlignment="1">
      <alignment horizontal="center" vertical="center"/>
    </xf>
    <xf numFmtId="1" fontId="5" fillId="10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3DEF1"/>
      <color rgb="FFF96561"/>
      <color rgb="FF6180BF"/>
      <color rgb="FF3B67B7"/>
      <color rgb="FFFAAB54"/>
      <color rgb="FFF99527"/>
      <color rgb="FF84A2D8"/>
      <color rgb="FFFAA0E7"/>
      <color rgb="FFE90DBA"/>
      <color rgb="FFDF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PROCV!$B$3:$M$3</c:f>
              <c:numCache>
                <c:formatCode>General</c:formatCode>
                <c:ptCount val="12"/>
                <c:pt idx="0">
                  <c:v>405</c:v>
                </c:pt>
                <c:pt idx="1">
                  <c:v>442</c:v>
                </c:pt>
                <c:pt idx="2">
                  <c:v>210</c:v>
                </c:pt>
                <c:pt idx="3">
                  <c:v>319</c:v>
                </c:pt>
                <c:pt idx="4">
                  <c:v>403</c:v>
                </c:pt>
                <c:pt idx="5">
                  <c:v>308</c:v>
                </c:pt>
                <c:pt idx="6">
                  <c:v>164</c:v>
                </c:pt>
                <c:pt idx="7">
                  <c:v>84</c:v>
                </c:pt>
                <c:pt idx="8">
                  <c:v>492</c:v>
                </c:pt>
                <c:pt idx="9">
                  <c:v>492</c:v>
                </c:pt>
                <c:pt idx="10">
                  <c:v>251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2-4896-9893-EB3898DAD2A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PROCV!$B$4:$M$4</c:f>
              <c:numCache>
                <c:formatCode>General</c:formatCode>
                <c:ptCount val="12"/>
                <c:pt idx="0">
                  <c:v>492</c:v>
                </c:pt>
                <c:pt idx="1">
                  <c:v>440</c:v>
                </c:pt>
                <c:pt idx="2">
                  <c:v>236</c:v>
                </c:pt>
                <c:pt idx="3">
                  <c:v>114</c:v>
                </c:pt>
                <c:pt idx="4">
                  <c:v>158</c:v>
                </c:pt>
                <c:pt idx="5">
                  <c:v>155</c:v>
                </c:pt>
                <c:pt idx="6">
                  <c:v>422</c:v>
                </c:pt>
                <c:pt idx="7">
                  <c:v>134</c:v>
                </c:pt>
                <c:pt idx="8">
                  <c:v>69</c:v>
                </c:pt>
                <c:pt idx="9">
                  <c:v>244</c:v>
                </c:pt>
                <c:pt idx="10">
                  <c:v>178</c:v>
                </c:pt>
                <c:pt idx="1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2-4896-9893-EB3898DAD2AF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PROCV!$B$5:$M$5</c:f>
              <c:numCache>
                <c:formatCode>General</c:formatCode>
                <c:ptCount val="12"/>
                <c:pt idx="0">
                  <c:v>210</c:v>
                </c:pt>
                <c:pt idx="1">
                  <c:v>26</c:v>
                </c:pt>
                <c:pt idx="2">
                  <c:v>140</c:v>
                </c:pt>
                <c:pt idx="3">
                  <c:v>149</c:v>
                </c:pt>
                <c:pt idx="4">
                  <c:v>465</c:v>
                </c:pt>
                <c:pt idx="5">
                  <c:v>352</c:v>
                </c:pt>
                <c:pt idx="6">
                  <c:v>44</c:v>
                </c:pt>
                <c:pt idx="7">
                  <c:v>75</c:v>
                </c:pt>
                <c:pt idx="8">
                  <c:v>465</c:v>
                </c:pt>
                <c:pt idx="9">
                  <c:v>152</c:v>
                </c:pt>
                <c:pt idx="10">
                  <c:v>60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2-4896-9893-EB3898DAD2AF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PROCV!$B$6:$M$6</c:f>
              <c:numCache>
                <c:formatCode>General</c:formatCode>
                <c:ptCount val="12"/>
                <c:pt idx="0">
                  <c:v>26</c:v>
                </c:pt>
                <c:pt idx="1">
                  <c:v>30</c:v>
                </c:pt>
                <c:pt idx="2">
                  <c:v>412</c:v>
                </c:pt>
                <c:pt idx="3">
                  <c:v>89</c:v>
                </c:pt>
                <c:pt idx="4">
                  <c:v>156</c:v>
                </c:pt>
                <c:pt idx="5">
                  <c:v>226</c:v>
                </c:pt>
                <c:pt idx="6">
                  <c:v>23</c:v>
                </c:pt>
                <c:pt idx="7">
                  <c:v>472</c:v>
                </c:pt>
                <c:pt idx="8">
                  <c:v>477</c:v>
                </c:pt>
                <c:pt idx="9">
                  <c:v>285</c:v>
                </c:pt>
                <c:pt idx="10">
                  <c:v>85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2-4896-9893-EB3898DAD2AF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PROCV!$B$7:$M$7</c:f>
              <c:numCache>
                <c:formatCode>General</c:formatCode>
                <c:ptCount val="12"/>
                <c:pt idx="0">
                  <c:v>138</c:v>
                </c:pt>
                <c:pt idx="1">
                  <c:v>399</c:v>
                </c:pt>
                <c:pt idx="2">
                  <c:v>136</c:v>
                </c:pt>
                <c:pt idx="3">
                  <c:v>89</c:v>
                </c:pt>
                <c:pt idx="4">
                  <c:v>88</c:v>
                </c:pt>
                <c:pt idx="5">
                  <c:v>473</c:v>
                </c:pt>
                <c:pt idx="6">
                  <c:v>147</c:v>
                </c:pt>
                <c:pt idx="7">
                  <c:v>12</c:v>
                </c:pt>
                <c:pt idx="8">
                  <c:v>107</c:v>
                </c:pt>
                <c:pt idx="9">
                  <c:v>60</c:v>
                </c:pt>
                <c:pt idx="10">
                  <c:v>391</c:v>
                </c:pt>
                <c:pt idx="11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92-4896-9893-EB3898DAD2AF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PROCV!$B$8:$M$8</c:f>
              <c:numCache>
                <c:formatCode>General</c:formatCode>
                <c:ptCount val="12"/>
                <c:pt idx="0">
                  <c:v>67</c:v>
                </c:pt>
                <c:pt idx="1">
                  <c:v>364</c:v>
                </c:pt>
                <c:pt idx="2">
                  <c:v>444</c:v>
                </c:pt>
                <c:pt idx="3">
                  <c:v>366</c:v>
                </c:pt>
                <c:pt idx="4">
                  <c:v>319</c:v>
                </c:pt>
                <c:pt idx="5">
                  <c:v>81</c:v>
                </c:pt>
                <c:pt idx="6">
                  <c:v>98</c:v>
                </c:pt>
                <c:pt idx="7">
                  <c:v>119</c:v>
                </c:pt>
                <c:pt idx="8">
                  <c:v>405</c:v>
                </c:pt>
                <c:pt idx="9">
                  <c:v>297</c:v>
                </c:pt>
                <c:pt idx="10">
                  <c:v>278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92-4896-9893-EB3898DAD2AF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PROCV!$B$9:$M$9</c:f>
              <c:numCache>
                <c:formatCode>General</c:formatCode>
                <c:ptCount val="12"/>
                <c:pt idx="0">
                  <c:v>320</c:v>
                </c:pt>
                <c:pt idx="1">
                  <c:v>261</c:v>
                </c:pt>
                <c:pt idx="2">
                  <c:v>231</c:v>
                </c:pt>
                <c:pt idx="3">
                  <c:v>402</c:v>
                </c:pt>
                <c:pt idx="4">
                  <c:v>8</c:v>
                </c:pt>
                <c:pt idx="5">
                  <c:v>416</c:v>
                </c:pt>
                <c:pt idx="6">
                  <c:v>412</c:v>
                </c:pt>
                <c:pt idx="7">
                  <c:v>217</c:v>
                </c:pt>
                <c:pt idx="8">
                  <c:v>258</c:v>
                </c:pt>
                <c:pt idx="9">
                  <c:v>193</c:v>
                </c:pt>
                <c:pt idx="10">
                  <c:v>198</c:v>
                </c:pt>
                <c:pt idx="11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92-4896-9893-EB3898DAD2AF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PROCV!$B$10:$M$10</c:f>
              <c:numCache>
                <c:formatCode>General</c:formatCode>
                <c:ptCount val="12"/>
                <c:pt idx="0">
                  <c:v>131</c:v>
                </c:pt>
                <c:pt idx="1">
                  <c:v>36</c:v>
                </c:pt>
                <c:pt idx="2">
                  <c:v>6</c:v>
                </c:pt>
                <c:pt idx="3">
                  <c:v>381</c:v>
                </c:pt>
                <c:pt idx="4">
                  <c:v>107</c:v>
                </c:pt>
                <c:pt idx="5">
                  <c:v>67</c:v>
                </c:pt>
                <c:pt idx="6">
                  <c:v>279</c:v>
                </c:pt>
                <c:pt idx="7">
                  <c:v>105</c:v>
                </c:pt>
                <c:pt idx="8">
                  <c:v>51</c:v>
                </c:pt>
                <c:pt idx="9">
                  <c:v>361</c:v>
                </c:pt>
                <c:pt idx="10">
                  <c:v>491</c:v>
                </c:pt>
                <c:pt idx="11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2-4896-9893-EB3898DAD2AF}"/>
            </c:ext>
          </c:extLst>
        </c:ser>
        <c:ser>
          <c:idx val="8"/>
          <c:order val="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PROCV!$B$11:$M$11</c:f>
              <c:numCache>
                <c:formatCode>General</c:formatCode>
                <c:ptCount val="12"/>
                <c:pt idx="0">
                  <c:v>393</c:v>
                </c:pt>
                <c:pt idx="1">
                  <c:v>246</c:v>
                </c:pt>
                <c:pt idx="2">
                  <c:v>294</c:v>
                </c:pt>
                <c:pt idx="3">
                  <c:v>240</c:v>
                </c:pt>
                <c:pt idx="4">
                  <c:v>389</c:v>
                </c:pt>
                <c:pt idx="5">
                  <c:v>345</c:v>
                </c:pt>
                <c:pt idx="6">
                  <c:v>283</c:v>
                </c:pt>
                <c:pt idx="7">
                  <c:v>16</c:v>
                </c:pt>
                <c:pt idx="8">
                  <c:v>70</c:v>
                </c:pt>
                <c:pt idx="9">
                  <c:v>274</c:v>
                </c:pt>
                <c:pt idx="10">
                  <c:v>472</c:v>
                </c:pt>
                <c:pt idx="11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2-4896-9893-EB3898DAD2AF}"/>
            </c:ext>
          </c:extLst>
        </c:ser>
        <c:ser>
          <c:idx val="9"/>
          <c:order val="9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PROCV!$B$12:$M$12</c:f>
              <c:numCache>
                <c:formatCode>General</c:formatCode>
                <c:ptCount val="12"/>
                <c:pt idx="0">
                  <c:v>146</c:v>
                </c:pt>
                <c:pt idx="1">
                  <c:v>269</c:v>
                </c:pt>
                <c:pt idx="2">
                  <c:v>219</c:v>
                </c:pt>
                <c:pt idx="3">
                  <c:v>426</c:v>
                </c:pt>
                <c:pt idx="4">
                  <c:v>241</c:v>
                </c:pt>
                <c:pt idx="5">
                  <c:v>188</c:v>
                </c:pt>
                <c:pt idx="6">
                  <c:v>258</c:v>
                </c:pt>
                <c:pt idx="7">
                  <c:v>393</c:v>
                </c:pt>
                <c:pt idx="8">
                  <c:v>277</c:v>
                </c:pt>
                <c:pt idx="9">
                  <c:v>472</c:v>
                </c:pt>
                <c:pt idx="10">
                  <c:v>94</c:v>
                </c:pt>
                <c:pt idx="11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2-4896-9893-EB3898DAD2AF}"/>
            </c:ext>
          </c:extLst>
        </c:ser>
        <c:ser>
          <c:idx val="10"/>
          <c:order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PROCV!$B$13:$M$13</c:f>
              <c:numCache>
                <c:formatCode>General</c:formatCode>
                <c:ptCount val="12"/>
                <c:pt idx="0">
                  <c:v>184</c:v>
                </c:pt>
                <c:pt idx="1">
                  <c:v>358</c:v>
                </c:pt>
                <c:pt idx="2">
                  <c:v>438</c:v>
                </c:pt>
                <c:pt idx="3">
                  <c:v>393</c:v>
                </c:pt>
                <c:pt idx="4">
                  <c:v>416</c:v>
                </c:pt>
                <c:pt idx="5">
                  <c:v>311</c:v>
                </c:pt>
                <c:pt idx="6">
                  <c:v>12</c:v>
                </c:pt>
                <c:pt idx="7">
                  <c:v>372</c:v>
                </c:pt>
                <c:pt idx="8">
                  <c:v>497</c:v>
                </c:pt>
                <c:pt idx="9">
                  <c:v>151</c:v>
                </c:pt>
                <c:pt idx="10">
                  <c:v>340</c:v>
                </c:pt>
                <c:pt idx="11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2-4896-9893-EB3898DAD2AF}"/>
            </c:ext>
          </c:extLst>
        </c:ser>
        <c:ser>
          <c:idx val="11"/>
          <c:order val="1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PROCV!$B$14:$M$14</c:f>
              <c:numCache>
                <c:formatCode>General</c:formatCode>
                <c:ptCount val="12"/>
                <c:pt idx="0">
                  <c:v>310</c:v>
                </c:pt>
                <c:pt idx="1">
                  <c:v>190</c:v>
                </c:pt>
                <c:pt idx="2">
                  <c:v>180</c:v>
                </c:pt>
                <c:pt idx="3">
                  <c:v>177</c:v>
                </c:pt>
                <c:pt idx="4">
                  <c:v>417</c:v>
                </c:pt>
                <c:pt idx="5">
                  <c:v>488</c:v>
                </c:pt>
                <c:pt idx="6">
                  <c:v>107</c:v>
                </c:pt>
                <c:pt idx="7">
                  <c:v>82</c:v>
                </c:pt>
                <c:pt idx="8">
                  <c:v>109</c:v>
                </c:pt>
                <c:pt idx="9">
                  <c:v>56</c:v>
                </c:pt>
                <c:pt idx="10">
                  <c:v>39</c:v>
                </c:pt>
                <c:pt idx="11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2-4896-9893-EB3898DAD2AF}"/>
            </c:ext>
          </c:extLst>
        </c:ser>
        <c:ser>
          <c:idx val="12"/>
          <c:order val="1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PROCV!$B$15:$M$15</c:f>
              <c:numCache>
                <c:formatCode>General</c:formatCode>
                <c:ptCount val="12"/>
                <c:pt idx="0">
                  <c:v>374</c:v>
                </c:pt>
                <c:pt idx="1">
                  <c:v>427</c:v>
                </c:pt>
                <c:pt idx="2">
                  <c:v>179</c:v>
                </c:pt>
                <c:pt idx="3">
                  <c:v>300</c:v>
                </c:pt>
                <c:pt idx="4">
                  <c:v>141</c:v>
                </c:pt>
                <c:pt idx="5">
                  <c:v>65</c:v>
                </c:pt>
                <c:pt idx="6">
                  <c:v>473</c:v>
                </c:pt>
                <c:pt idx="7">
                  <c:v>174</c:v>
                </c:pt>
                <c:pt idx="8">
                  <c:v>155</c:v>
                </c:pt>
                <c:pt idx="9">
                  <c:v>127</c:v>
                </c:pt>
                <c:pt idx="10">
                  <c:v>362</c:v>
                </c:pt>
                <c:pt idx="11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2-4896-9893-EB3898DAD2AF}"/>
            </c:ext>
          </c:extLst>
        </c:ser>
        <c:ser>
          <c:idx val="13"/>
          <c:order val="1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PROCV!$B$16:$M$16</c:f>
              <c:numCache>
                <c:formatCode>General</c:formatCode>
                <c:ptCount val="12"/>
                <c:pt idx="0">
                  <c:v>172</c:v>
                </c:pt>
                <c:pt idx="1">
                  <c:v>163</c:v>
                </c:pt>
                <c:pt idx="2">
                  <c:v>220</c:v>
                </c:pt>
                <c:pt idx="3">
                  <c:v>305</c:v>
                </c:pt>
                <c:pt idx="4">
                  <c:v>6</c:v>
                </c:pt>
                <c:pt idx="5">
                  <c:v>483</c:v>
                </c:pt>
                <c:pt idx="6">
                  <c:v>21</c:v>
                </c:pt>
                <c:pt idx="7">
                  <c:v>25</c:v>
                </c:pt>
                <c:pt idx="8">
                  <c:v>352</c:v>
                </c:pt>
                <c:pt idx="9">
                  <c:v>101</c:v>
                </c:pt>
                <c:pt idx="10">
                  <c:v>82</c:v>
                </c:pt>
                <c:pt idx="11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2-4896-9893-EB3898DAD2AF}"/>
            </c:ext>
          </c:extLst>
        </c:ser>
        <c:ser>
          <c:idx val="14"/>
          <c:order val="1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PROCV!$B$17:$M$17</c:f>
              <c:numCache>
                <c:formatCode>General</c:formatCode>
                <c:ptCount val="12"/>
                <c:pt idx="0">
                  <c:v>316</c:v>
                </c:pt>
                <c:pt idx="1">
                  <c:v>475</c:v>
                </c:pt>
                <c:pt idx="2">
                  <c:v>330</c:v>
                </c:pt>
                <c:pt idx="3">
                  <c:v>480</c:v>
                </c:pt>
                <c:pt idx="4">
                  <c:v>337</c:v>
                </c:pt>
                <c:pt idx="5">
                  <c:v>256</c:v>
                </c:pt>
                <c:pt idx="6">
                  <c:v>467</c:v>
                </c:pt>
                <c:pt idx="7">
                  <c:v>130</c:v>
                </c:pt>
                <c:pt idx="8">
                  <c:v>413</c:v>
                </c:pt>
                <c:pt idx="9">
                  <c:v>195</c:v>
                </c:pt>
                <c:pt idx="10">
                  <c:v>48</c:v>
                </c:pt>
                <c:pt idx="1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92-4896-9893-EB3898DAD2AF}"/>
            </c:ext>
          </c:extLst>
        </c:ser>
        <c:ser>
          <c:idx val="15"/>
          <c:order val="1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PROCV!$B$18:$M$18</c:f>
              <c:numCache>
                <c:formatCode>General</c:formatCode>
                <c:ptCount val="12"/>
                <c:pt idx="0">
                  <c:v>216</c:v>
                </c:pt>
                <c:pt idx="1">
                  <c:v>28</c:v>
                </c:pt>
                <c:pt idx="2">
                  <c:v>49</c:v>
                </c:pt>
                <c:pt idx="3">
                  <c:v>111</c:v>
                </c:pt>
                <c:pt idx="4">
                  <c:v>384</c:v>
                </c:pt>
                <c:pt idx="5">
                  <c:v>363</c:v>
                </c:pt>
                <c:pt idx="6">
                  <c:v>50</c:v>
                </c:pt>
                <c:pt idx="7">
                  <c:v>240</c:v>
                </c:pt>
                <c:pt idx="8">
                  <c:v>32</c:v>
                </c:pt>
                <c:pt idx="9">
                  <c:v>415</c:v>
                </c:pt>
                <c:pt idx="10">
                  <c:v>187</c:v>
                </c:pt>
                <c:pt idx="11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92-4896-9893-EB3898DAD2AF}"/>
            </c:ext>
          </c:extLst>
        </c:ser>
        <c:ser>
          <c:idx val="16"/>
          <c:order val="1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PROCV!$B$19:$M$19</c:f>
              <c:numCache>
                <c:formatCode>General</c:formatCode>
                <c:ptCount val="12"/>
                <c:pt idx="0">
                  <c:v>116</c:v>
                </c:pt>
                <c:pt idx="1">
                  <c:v>456</c:v>
                </c:pt>
                <c:pt idx="2">
                  <c:v>278</c:v>
                </c:pt>
                <c:pt idx="3">
                  <c:v>194</c:v>
                </c:pt>
                <c:pt idx="4">
                  <c:v>187</c:v>
                </c:pt>
                <c:pt idx="5">
                  <c:v>417</c:v>
                </c:pt>
                <c:pt idx="6">
                  <c:v>45</c:v>
                </c:pt>
                <c:pt idx="7">
                  <c:v>181</c:v>
                </c:pt>
                <c:pt idx="8">
                  <c:v>283</c:v>
                </c:pt>
                <c:pt idx="9">
                  <c:v>480</c:v>
                </c:pt>
                <c:pt idx="10">
                  <c:v>380</c:v>
                </c:pt>
                <c:pt idx="1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92-4896-9893-EB3898DAD2AF}"/>
            </c:ext>
          </c:extLst>
        </c:ser>
        <c:ser>
          <c:idx val="17"/>
          <c:order val="1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PROCV!$B$20:$M$20</c:f>
              <c:numCache>
                <c:formatCode>General</c:formatCode>
                <c:ptCount val="12"/>
                <c:pt idx="0">
                  <c:v>103</c:v>
                </c:pt>
                <c:pt idx="1">
                  <c:v>61</c:v>
                </c:pt>
                <c:pt idx="2">
                  <c:v>210</c:v>
                </c:pt>
                <c:pt idx="3">
                  <c:v>107</c:v>
                </c:pt>
                <c:pt idx="4">
                  <c:v>323</c:v>
                </c:pt>
                <c:pt idx="5">
                  <c:v>296</c:v>
                </c:pt>
                <c:pt idx="6">
                  <c:v>246</c:v>
                </c:pt>
                <c:pt idx="7">
                  <c:v>231</c:v>
                </c:pt>
                <c:pt idx="8">
                  <c:v>140</c:v>
                </c:pt>
                <c:pt idx="9">
                  <c:v>374</c:v>
                </c:pt>
                <c:pt idx="10">
                  <c:v>135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92-4896-9893-EB3898DAD2AF}"/>
            </c:ext>
          </c:extLst>
        </c:ser>
        <c:ser>
          <c:idx val="18"/>
          <c:order val="1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PROCV!$B$2:$M$2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PROCV!$B$21:$M$21</c:f>
              <c:numCache>
                <c:formatCode>General</c:formatCode>
                <c:ptCount val="12"/>
                <c:pt idx="0">
                  <c:v>29</c:v>
                </c:pt>
                <c:pt idx="1">
                  <c:v>353</c:v>
                </c:pt>
                <c:pt idx="2">
                  <c:v>481</c:v>
                </c:pt>
                <c:pt idx="3">
                  <c:v>8</c:v>
                </c:pt>
                <c:pt idx="4">
                  <c:v>32</c:v>
                </c:pt>
                <c:pt idx="5">
                  <c:v>435</c:v>
                </c:pt>
                <c:pt idx="6">
                  <c:v>319</c:v>
                </c:pt>
                <c:pt idx="7">
                  <c:v>471</c:v>
                </c:pt>
                <c:pt idx="8">
                  <c:v>420</c:v>
                </c:pt>
                <c:pt idx="9">
                  <c:v>367</c:v>
                </c:pt>
                <c:pt idx="10">
                  <c:v>303</c:v>
                </c:pt>
                <c:pt idx="11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92-4896-9893-EB3898DAD2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Totais Produtos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PROCV!$A$3:$A$21</c:f>
              <c:strCache>
                <c:ptCount val="19"/>
                <c:pt idx="0">
                  <c:v>Arroz</c:v>
                </c:pt>
                <c:pt idx="1">
                  <c:v>Feijão</c:v>
                </c:pt>
                <c:pt idx="2">
                  <c:v>Macarrão</c:v>
                </c:pt>
                <c:pt idx="3">
                  <c:v>Açúcar</c:v>
                </c:pt>
                <c:pt idx="4">
                  <c:v>Café</c:v>
                </c:pt>
                <c:pt idx="5">
                  <c:v>Óleo de soja</c:v>
                </c:pt>
                <c:pt idx="6">
                  <c:v>Sal</c:v>
                </c:pt>
                <c:pt idx="7">
                  <c:v>Farinha de trigo</c:v>
                </c:pt>
                <c:pt idx="8">
                  <c:v>Molho de tomate</c:v>
                </c:pt>
                <c:pt idx="9">
                  <c:v>Milho e ervilha</c:v>
                </c:pt>
                <c:pt idx="10">
                  <c:v>Batata</c:v>
                </c:pt>
                <c:pt idx="11">
                  <c:v>Cebola</c:v>
                </c:pt>
                <c:pt idx="12">
                  <c:v>Alho</c:v>
                </c:pt>
                <c:pt idx="13">
                  <c:v>Tomate</c:v>
                </c:pt>
                <c:pt idx="14">
                  <c:v>Cenoura</c:v>
                </c:pt>
                <c:pt idx="15">
                  <c:v>Alface</c:v>
                </c:pt>
                <c:pt idx="16">
                  <c:v>Banana</c:v>
                </c:pt>
                <c:pt idx="17">
                  <c:v>Maçã</c:v>
                </c:pt>
                <c:pt idx="18">
                  <c:v>Limão</c:v>
                </c:pt>
              </c:strCache>
            </c:strRef>
          </c:cat>
          <c:val>
            <c:numRef>
              <c:f>PROCV!$P$3:$P$21</c:f>
              <c:numCache>
                <c:formatCode>General</c:formatCode>
                <c:ptCount val="19"/>
                <c:pt idx="0">
                  <c:v>3592</c:v>
                </c:pt>
                <c:pt idx="1">
                  <c:v>2789</c:v>
                </c:pt>
                <c:pt idx="2">
                  <c:v>2188</c:v>
                </c:pt>
                <c:pt idx="3">
                  <c:v>2372</c:v>
                </c:pt>
                <c:pt idx="4">
                  <c:v>2465</c:v>
                </c:pt>
                <c:pt idx="5">
                  <c:v>2862</c:v>
                </c:pt>
                <c:pt idx="6">
                  <c:v>3240</c:v>
                </c:pt>
                <c:pt idx="7">
                  <c:v>2358</c:v>
                </c:pt>
                <c:pt idx="8">
                  <c:v>3301</c:v>
                </c:pt>
                <c:pt idx="9">
                  <c:v>3457</c:v>
                </c:pt>
                <c:pt idx="10">
                  <c:v>3705</c:v>
                </c:pt>
                <c:pt idx="11">
                  <c:v>2321</c:v>
                </c:pt>
                <c:pt idx="12">
                  <c:v>3140</c:v>
                </c:pt>
                <c:pt idx="13">
                  <c:v>2143</c:v>
                </c:pt>
                <c:pt idx="14">
                  <c:v>3520</c:v>
                </c:pt>
                <c:pt idx="15">
                  <c:v>2360</c:v>
                </c:pt>
                <c:pt idx="16">
                  <c:v>3084</c:v>
                </c:pt>
                <c:pt idx="17">
                  <c:v>2446</c:v>
                </c:pt>
                <c:pt idx="18">
                  <c:v>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A38-92A6-E35528836D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5418367"/>
        <c:axId val="805658847"/>
      </c:barChart>
      <c:catAx>
        <c:axId val="55541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5658847"/>
        <c:crosses val="autoZero"/>
        <c:auto val="1"/>
        <c:lblAlgn val="ctr"/>
        <c:lblOffset val="100"/>
        <c:noMultiLvlLbl val="0"/>
      </c:catAx>
      <c:valAx>
        <c:axId val="80565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41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Média</a:t>
            </a:r>
            <a:r>
              <a:rPr lang="pt-BR" baseline="0">
                <a:solidFill>
                  <a:schemeClr val="bg1"/>
                </a:solidFill>
              </a:rPr>
              <a:t>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PROCV!$A$3:$A$21</c:f>
              <c:strCache>
                <c:ptCount val="19"/>
                <c:pt idx="0">
                  <c:v>Arroz</c:v>
                </c:pt>
                <c:pt idx="1">
                  <c:v>Feijão</c:v>
                </c:pt>
                <c:pt idx="2">
                  <c:v>Macarrão</c:v>
                </c:pt>
                <c:pt idx="3">
                  <c:v>Açúcar</c:v>
                </c:pt>
                <c:pt idx="4">
                  <c:v>Café</c:v>
                </c:pt>
                <c:pt idx="5">
                  <c:v>Óleo de soja</c:v>
                </c:pt>
                <c:pt idx="6">
                  <c:v>Sal</c:v>
                </c:pt>
                <c:pt idx="7">
                  <c:v>Farinha de trigo</c:v>
                </c:pt>
                <c:pt idx="8">
                  <c:v>Molho de tomate</c:v>
                </c:pt>
                <c:pt idx="9">
                  <c:v>Milho e ervilha</c:v>
                </c:pt>
                <c:pt idx="10">
                  <c:v>Batata</c:v>
                </c:pt>
                <c:pt idx="11">
                  <c:v>Cebola</c:v>
                </c:pt>
                <c:pt idx="12">
                  <c:v>Alho</c:v>
                </c:pt>
                <c:pt idx="13">
                  <c:v>Tomate</c:v>
                </c:pt>
                <c:pt idx="14">
                  <c:v>Cenoura</c:v>
                </c:pt>
                <c:pt idx="15">
                  <c:v>Alface</c:v>
                </c:pt>
                <c:pt idx="16">
                  <c:v>Banana</c:v>
                </c:pt>
                <c:pt idx="17">
                  <c:v>Maçã</c:v>
                </c:pt>
                <c:pt idx="18">
                  <c:v>Limão</c:v>
                </c:pt>
              </c:strCache>
            </c:strRef>
          </c:cat>
          <c:val>
            <c:numRef>
              <c:f>PROCV!$N$3:$N$21</c:f>
              <c:numCache>
                <c:formatCode>0</c:formatCode>
                <c:ptCount val="19"/>
                <c:pt idx="0">
                  <c:v>299.33333333333331</c:v>
                </c:pt>
                <c:pt idx="1">
                  <c:v>232.41666666666666</c:v>
                </c:pt>
                <c:pt idx="2">
                  <c:v>182.33333333333334</c:v>
                </c:pt>
                <c:pt idx="3">
                  <c:v>197.66666666666666</c:v>
                </c:pt>
                <c:pt idx="4">
                  <c:v>205.41666666666666</c:v>
                </c:pt>
                <c:pt idx="5">
                  <c:v>238.5</c:v>
                </c:pt>
                <c:pt idx="6">
                  <c:v>270</c:v>
                </c:pt>
                <c:pt idx="7">
                  <c:v>196.5</c:v>
                </c:pt>
                <c:pt idx="8">
                  <c:v>275.08333333333331</c:v>
                </c:pt>
                <c:pt idx="9">
                  <c:v>288.08333333333331</c:v>
                </c:pt>
                <c:pt idx="10">
                  <c:v>308.75</c:v>
                </c:pt>
                <c:pt idx="11">
                  <c:v>193.41666666666666</c:v>
                </c:pt>
                <c:pt idx="12">
                  <c:v>261.66666666666669</c:v>
                </c:pt>
                <c:pt idx="13">
                  <c:v>178.58333333333334</c:v>
                </c:pt>
                <c:pt idx="14">
                  <c:v>293.33333333333331</c:v>
                </c:pt>
                <c:pt idx="15">
                  <c:v>196.66666666666666</c:v>
                </c:pt>
                <c:pt idx="16">
                  <c:v>257</c:v>
                </c:pt>
                <c:pt idx="17">
                  <c:v>203.83333333333334</c:v>
                </c:pt>
                <c:pt idx="18">
                  <c:v>300.41666666666669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A-4989-8EC3-980E3A7CDA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PROCV!$A$3:$A$21</c:f>
              <c:strCache>
                <c:ptCount val="19"/>
                <c:pt idx="0">
                  <c:v>Arroz</c:v>
                </c:pt>
                <c:pt idx="1">
                  <c:v>Feijão</c:v>
                </c:pt>
                <c:pt idx="2">
                  <c:v>Macarrão</c:v>
                </c:pt>
                <c:pt idx="3">
                  <c:v>Açúcar</c:v>
                </c:pt>
                <c:pt idx="4">
                  <c:v>Café</c:v>
                </c:pt>
                <c:pt idx="5">
                  <c:v>Óleo de soja</c:v>
                </c:pt>
                <c:pt idx="6">
                  <c:v>Sal</c:v>
                </c:pt>
                <c:pt idx="7">
                  <c:v>Farinha de trigo</c:v>
                </c:pt>
                <c:pt idx="8">
                  <c:v>Molho de tomate</c:v>
                </c:pt>
                <c:pt idx="9">
                  <c:v>Milho e ervilha</c:v>
                </c:pt>
                <c:pt idx="10">
                  <c:v>Batata</c:v>
                </c:pt>
                <c:pt idx="11">
                  <c:v>Cebola</c:v>
                </c:pt>
                <c:pt idx="12">
                  <c:v>Alho</c:v>
                </c:pt>
                <c:pt idx="13">
                  <c:v>Tomate</c:v>
                </c:pt>
                <c:pt idx="14">
                  <c:v>Cenoura</c:v>
                </c:pt>
                <c:pt idx="15">
                  <c:v>Alface</c:v>
                </c:pt>
                <c:pt idx="16">
                  <c:v>Banana</c:v>
                </c:pt>
                <c:pt idx="17">
                  <c:v>Maçã</c:v>
                </c:pt>
                <c:pt idx="18">
                  <c:v>Limão</c:v>
                </c:pt>
              </c:strCache>
            </c:strRef>
          </c:cat>
          <c:val>
            <c:numRef>
              <c:f>PROCV!$O$3:$O$21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A-4989-8EC3-980E3A7CDA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8444607"/>
        <c:axId val="798528415"/>
      </c:barChart>
      <c:catAx>
        <c:axId val="80844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528415"/>
        <c:crosses val="autoZero"/>
        <c:auto val="1"/>
        <c:lblAlgn val="ctr"/>
        <c:lblOffset val="100"/>
        <c:noMultiLvlLbl val="0"/>
      </c:catAx>
      <c:valAx>
        <c:axId val="7985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44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14606</xdr:colOff>
      <xdr:row>21</xdr:row>
      <xdr:rowOff>15737</xdr:rowOff>
    </xdr:from>
    <xdr:to>
      <xdr:col>6</xdr:col>
      <xdr:colOff>664543</xdr:colOff>
      <xdr:row>38</xdr:row>
      <xdr:rowOff>124239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93CF1A-11B3-4CDA-B9CD-E7EEE8079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681933</xdr:colOff>
      <xdr:row>21</xdr:row>
      <xdr:rowOff>13805</xdr:rowOff>
    </xdr:from>
    <xdr:to>
      <xdr:col>11</xdr:col>
      <xdr:colOff>96630</xdr:colOff>
      <xdr:row>38</xdr:row>
      <xdr:rowOff>110435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BAEC7D-1368-42C7-B433-FA3819A7C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129759</xdr:colOff>
      <xdr:row>21</xdr:row>
      <xdr:rowOff>8835</xdr:rowOff>
    </xdr:from>
    <xdr:to>
      <xdr:col>16</xdr:col>
      <xdr:colOff>13804</xdr:colOff>
      <xdr:row>38</xdr:row>
      <xdr:rowOff>96630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308B9E5-A500-4082-B980-B5EF2BE1E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7201-2C19-4138-A6A7-835F3BE48AEA}">
  <dimension ref="I5:N31"/>
  <sheetViews>
    <sheetView zoomScale="80" zoomScaleNormal="80" zoomScaleSheetLayoutView="115" workbookViewId="0">
      <selection activeCell="K9" sqref="K9:K28"/>
    </sheetView>
  </sheetViews>
  <sheetFormatPr defaultRowHeight="14.25" x14ac:dyDescent="0.2"/>
  <cols>
    <col min="1" max="8" width="9.140625" style="2"/>
    <col min="9" max="9" width="19.42578125" style="3" customWidth="1"/>
    <col min="10" max="10" width="17.140625" style="2" bestFit="1" customWidth="1"/>
    <col min="11" max="11" width="39.42578125" style="2" bestFit="1" customWidth="1"/>
    <col min="12" max="12" width="14.85546875" style="2" bestFit="1" customWidth="1"/>
    <col min="13" max="14" width="10.28515625" style="2" customWidth="1"/>
    <col min="15" max="16384" width="9.140625" style="2"/>
  </cols>
  <sheetData>
    <row r="5" spans="9:14" ht="15" thickBot="1" x14ac:dyDescent="0.25"/>
    <row r="6" spans="9:14" ht="46.5" customHeight="1" thickBot="1" x14ac:dyDescent="0.25">
      <c r="J6" s="28" t="s">
        <v>28</v>
      </c>
      <c r="K6" s="29"/>
      <c r="L6" s="29"/>
      <c r="M6" s="29"/>
      <c r="N6" s="30"/>
    </row>
    <row r="7" spans="9:14" ht="15" thickBot="1" x14ac:dyDescent="0.25"/>
    <row r="8" spans="9:14" s="1" customFormat="1" x14ac:dyDescent="0.2">
      <c r="J8" s="6" t="s">
        <v>0</v>
      </c>
      <c r="K8" s="7" t="s">
        <v>1</v>
      </c>
      <c r="L8" s="7" t="s">
        <v>2</v>
      </c>
      <c r="M8" s="7" t="s">
        <v>3</v>
      </c>
      <c r="N8" s="8" t="s">
        <v>4</v>
      </c>
    </row>
    <row r="9" spans="9:14" ht="16.5" customHeight="1" x14ac:dyDescent="0.2">
      <c r="I9" s="2"/>
      <c r="J9" s="9">
        <v>40020891</v>
      </c>
      <c r="K9" s="4" t="s">
        <v>5</v>
      </c>
      <c r="L9" s="5">
        <f ca="1">RANDBETWEEN(50,500)</f>
        <v>72</v>
      </c>
      <c r="M9" s="2">
        <f ca="1">RANDBETWEEN(1,200)</f>
        <v>195</v>
      </c>
      <c r="N9" s="10">
        <f ca="1">RANDBETWEEN(200,500)</f>
        <v>353</v>
      </c>
    </row>
    <row r="10" spans="9:14" ht="16.5" customHeight="1" x14ac:dyDescent="0.2">
      <c r="I10" s="2"/>
      <c r="J10" s="9">
        <v>40020892</v>
      </c>
      <c r="K10" s="4" t="s">
        <v>6</v>
      </c>
      <c r="L10" s="5">
        <f t="shared" ref="L10:L28" ca="1" si="0">RANDBETWEEN(50,500)</f>
        <v>156</v>
      </c>
      <c r="M10" s="2">
        <f t="shared" ref="M10:M28" ca="1" si="1">RANDBETWEEN(1,200)</f>
        <v>147</v>
      </c>
      <c r="N10" s="10">
        <f t="shared" ref="N10:N28" ca="1" si="2">RANDBETWEEN(200,500)</f>
        <v>292</v>
      </c>
    </row>
    <row r="11" spans="9:14" ht="16.5" customHeight="1" x14ac:dyDescent="0.2">
      <c r="I11" s="2"/>
      <c r="J11" s="9">
        <v>40020893</v>
      </c>
      <c r="K11" s="4" t="s">
        <v>7</v>
      </c>
      <c r="L11" s="5">
        <f t="shared" ca="1" si="0"/>
        <v>69</v>
      </c>
      <c r="M11" s="2">
        <f t="shared" ca="1" si="1"/>
        <v>125</v>
      </c>
      <c r="N11" s="10">
        <f t="shared" ca="1" si="2"/>
        <v>257</v>
      </c>
    </row>
    <row r="12" spans="9:14" ht="16.5" customHeight="1" x14ac:dyDescent="0.2">
      <c r="I12" s="2"/>
      <c r="J12" s="9">
        <v>40020894</v>
      </c>
      <c r="K12" s="4" t="s">
        <v>8</v>
      </c>
      <c r="L12" s="5">
        <f t="shared" ca="1" si="0"/>
        <v>206</v>
      </c>
      <c r="M12" s="2">
        <f t="shared" ca="1" si="1"/>
        <v>187</v>
      </c>
      <c r="N12" s="10">
        <f t="shared" ca="1" si="2"/>
        <v>496</v>
      </c>
    </row>
    <row r="13" spans="9:14" ht="16.5" customHeight="1" x14ac:dyDescent="0.2">
      <c r="I13" s="2"/>
      <c r="J13" s="9">
        <v>40020895</v>
      </c>
      <c r="K13" s="4" t="s">
        <v>9</v>
      </c>
      <c r="L13" s="5">
        <f t="shared" ca="1" si="0"/>
        <v>317</v>
      </c>
      <c r="M13" s="2">
        <f t="shared" ca="1" si="1"/>
        <v>11</v>
      </c>
      <c r="N13" s="10">
        <f t="shared" ca="1" si="2"/>
        <v>445</v>
      </c>
    </row>
    <row r="14" spans="9:14" ht="16.5" customHeight="1" x14ac:dyDescent="0.2">
      <c r="I14" s="2"/>
      <c r="J14" s="9">
        <v>40020896</v>
      </c>
      <c r="K14" s="4" t="s">
        <v>10</v>
      </c>
      <c r="L14" s="5">
        <f t="shared" ca="1" si="0"/>
        <v>167</v>
      </c>
      <c r="M14" s="2">
        <f t="shared" ca="1" si="1"/>
        <v>148</v>
      </c>
      <c r="N14" s="10">
        <f t="shared" ca="1" si="2"/>
        <v>485</v>
      </c>
    </row>
    <row r="15" spans="9:14" ht="16.5" customHeight="1" x14ac:dyDescent="0.2">
      <c r="I15" s="2"/>
      <c r="J15" s="9">
        <v>40020897</v>
      </c>
      <c r="K15" s="4" t="s">
        <v>11</v>
      </c>
      <c r="L15" s="5">
        <f t="shared" ca="1" si="0"/>
        <v>491</v>
      </c>
      <c r="M15" s="2">
        <f t="shared" ca="1" si="1"/>
        <v>121</v>
      </c>
      <c r="N15" s="10">
        <f t="shared" ca="1" si="2"/>
        <v>496</v>
      </c>
    </row>
    <row r="16" spans="9:14" ht="16.5" customHeight="1" x14ac:dyDescent="0.2">
      <c r="I16" s="2"/>
      <c r="J16" s="9">
        <v>40020898</v>
      </c>
      <c r="K16" s="4" t="s">
        <v>12</v>
      </c>
      <c r="L16" s="5">
        <f t="shared" ca="1" si="0"/>
        <v>79</v>
      </c>
      <c r="M16" s="2">
        <f t="shared" ca="1" si="1"/>
        <v>187</v>
      </c>
      <c r="N16" s="10">
        <f t="shared" ca="1" si="2"/>
        <v>215</v>
      </c>
    </row>
    <row r="17" spans="9:14" ht="16.5" customHeight="1" x14ac:dyDescent="0.2">
      <c r="I17" s="2"/>
      <c r="J17" s="9">
        <v>40020899</v>
      </c>
      <c r="K17" s="4" t="s">
        <v>13</v>
      </c>
      <c r="L17" s="5">
        <f t="shared" ca="1" si="0"/>
        <v>240</v>
      </c>
      <c r="M17" s="2">
        <f t="shared" ca="1" si="1"/>
        <v>162</v>
      </c>
      <c r="N17" s="10">
        <f t="shared" ca="1" si="2"/>
        <v>273</v>
      </c>
    </row>
    <row r="18" spans="9:14" ht="16.5" customHeight="1" x14ac:dyDescent="0.2">
      <c r="I18" s="2"/>
      <c r="J18" s="9">
        <v>40020900</v>
      </c>
      <c r="K18" s="4" t="s">
        <v>14</v>
      </c>
      <c r="L18" s="5">
        <f t="shared" ca="1" si="0"/>
        <v>84</v>
      </c>
      <c r="M18" s="2">
        <f t="shared" ca="1" si="1"/>
        <v>165</v>
      </c>
      <c r="N18" s="10">
        <f t="shared" ca="1" si="2"/>
        <v>235</v>
      </c>
    </row>
    <row r="19" spans="9:14" ht="16.5" customHeight="1" x14ac:dyDescent="0.2">
      <c r="I19" s="2"/>
      <c r="J19" s="9">
        <v>40020901</v>
      </c>
      <c r="K19" s="4" t="s">
        <v>15</v>
      </c>
      <c r="L19" s="5">
        <f t="shared" ca="1" si="0"/>
        <v>121</v>
      </c>
      <c r="M19" s="2">
        <f t="shared" ca="1" si="1"/>
        <v>79</v>
      </c>
      <c r="N19" s="10">
        <f t="shared" ca="1" si="2"/>
        <v>323</v>
      </c>
    </row>
    <row r="20" spans="9:14" ht="16.5" customHeight="1" x14ac:dyDescent="0.2">
      <c r="I20" s="2"/>
      <c r="J20" s="9">
        <v>40020902</v>
      </c>
      <c r="K20" s="4" t="s">
        <v>16</v>
      </c>
      <c r="L20" s="5">
        <f t="shared" ca="1" si="0"/>
        <v>288</v>
      </c>
      <c r="M20" s="2">
        <f t="shared" ca="1" si="1"/>
        <v>63</v>
      </c>
      <c r="N20" s="10">
        <f t="shared" ca="1" si="2"/>
        <v>376</v>
      </c>
    </row>
    <row r="21" spans="9:14" ht="16.5" customHeight="1" x14ac:dyDescent="0.2">
      <c r="I21" s="2"/>
      <c r="J21" s="9">
        <v>40020903</v>
      </c>
      <c r="K21" s="4" t="s">
        <v>17</v>
      </c>
      <c r="L21" s="5">
        <f t="shared" ca="1" si="0"/>
        <v>464</v>
      </c>
      <c r="M21" s="2">
        <f t="shared" ca="1" si="1"/>
        <v>55</v>
      </c>
      <c r="N21" s="10">
        <f t="shared" ca="1" si="2"/>
        <v>296</v>
      </c>
    </row>
    <row r="22" spans="9:14" ht="16.5" customHeight="1" x14ac:dyDescent="0.2">
      <c r="I22" s="2"/>
      <c r="J22" s="9">
        <v>40020904</v>
      </c>
      <c r="K22" s="4" t="s">
        <v>18</v>
      </c>
      <c r="L22" s="5">
        <f t="shared" ca="1" si="0"/>
        <v>266</v>
      </c>
      <c r="M22" s="2">
        <f t="shared" ca="1" si="1"/>
        <v>25</v>
      </c>
      <c r="N22" s="10">
        <f t="shared" ca="1" si="2"/>
        <v>249</v>
      </c>
    </row>
    <row r="23" spans="9:14" ht="16.5" customHeight="1" x14ac:dyDescent="0.2">
      <c r="I23" s="2"/>
      <c r="J23" s="9">
        <v>40020905</v>
      </c>
      <c r="K23" s="4" t="s">
        <v>19</v>
      </c>
      <c r="L23" s="5">
        <f t="shared" ca="1" si="0"/>
        <v>163</v>
      </c>
      <c r="M23" s="2">
        <f t="shared" ca="1" si="1"/>
        <v>186</v>
      </c>
      <c r="N23" s="10">
        <f t="shared" ca="1" si="2"/>
        <v>279</v>
      </c>
    </row>
    <row r="24" spans="9:14" ht="16.5" customHeight="1" x14ac:dyDescent="0.2">
      <c r="I24" s="2"/>
      <c r="J24" s="9">
        <v>40020906</v>
      </c>
      <c r="K24" s="4" t="s">
        <v>20</v>
      </c>
      <c r="L24" s="5">
        <f t="shared" ca="1" si="0"/>
        <v>344</v>
      </c>
      <c r="M24" s="2">
        <f t="shared" ca="1" si="1"/>
        <v>178</v>
      </c>
      <c r="N24" s="10">
        <f t="shared" ca="1" si="2"/>
        <v>372</v>
      </c>
    </row>
    <row r="25" spans="9:14" ht="16.5" customHeight="1" x14ac:dyDescent="0.2">
      <c r="I25" s="2"/>
      <c r="J25" s="9">
        <v>40020907</v>
      </c>
      <c r="K25" s="4" t="s">
        <v>21</v>
      </c>
      <c r="L25" s="5">
        <f t="shared" ca="1" si="0"/>
        <v>387</v>
      </c>
      <c r="M25" s="2">
        <f t="shared" ca="1" si="1"/>
        <v>12</v>
      </c>
      <c r="N25" s="10">
        <f t="shared" ca="1" si="2"/>
        <v>427</v>
      </c>
    </row>
    <row r="26" spans="9:14" ht="16.5" customHeight="1" x14ac:dyDescent="0.2">
      <c r="I26" s="2"/>
      <c r="J26" s="9">
        <v>40020908</v>
      </c>
      <c r="K26" s="4" t="s">
        <v>22</v>
      </c>
      <c r="L26" s="5">
        <f t="shared" ca="1" si="0"/>
        <v>61</v>
      </c>
      <c r="M26" s="2">
        <f t="shared" ca="1" si="1"/>
        <v>58</v>
      </c>
      <c r="N26" s="10">
        <f t="shared" ca="1" si="2"/>
        <v>359</v>
      </c>
    </row>
    <row r="27" spans="9:14" ht="16.5" customHeight="1" x14ac:dyDescent="0.2">
      <c r="I27" s="2"/>
      <c r="J27" s="9">
        <v>40020909</v>
      </c>
      <c r="K27" s="4" t="s">
        <v>23</v>
      </c>
      <c r="L27" s="5">
        <f t="shared" ca="1" si="0"/>
        <v>431</v>
      </c>
      <c r="M27" s="2">
        <f t="shared" ca="1" si="1"/>
        <v>35</v>
      </c>
      <c r="N27" s="10">
        <f t="shared" ca="1" si="2"/>
        <v>310</v>
      </c>
    </row>
    <row r="28" spans="9:14" ht="16.5" customHeight="1" thickBot="1" x14ac:dyDescent="0.25">
      <c r="I28" s="2"/>
      <c r="J28" s="11">
        <v>40020910</v>
      </c>
      <c r="K28" s="12" t="s">
        <v>24</v>
      </c>
      <c r="L28" s="13">
        <f t="shared" ca="1" si="0"/>
        <v>475</v>
      </c>
      <c r="M28" s="14">
        <f t="shared" ca="1" si="1"/>
        <v>145</v>
      </c>
      <c r="N28" s="15">
        <f t="shared" ca="1" si="2"/>
        <v>209</v>
      </c>
    </row>
    <row r="31" spans="9:14" x14ac:dyDescent="0.2">
      <c r="I31" s="2"/>
      <c r="J31" s="3"/>
    </row>
  </sheetData>
  <mergeCells count="1">
    <mergeCell ref="J6:N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E973-F889-4E1D-98BA-D6C7B2E9A7C5}">
  <dimension ref="I2:M31"/>
  <sheetViews>
    <sheetView topLeftCell="B4" zoomScale="85" zoomScaleNormal="85" zoomScaleSheetLayoutView="115" workbookViewId="0">
      <selection activeCell="J8" sqref="J8:J27"/>
    </sheetView>
  </sheetViews>
  <sheetFormatPr defaultRowHeight="14.25" x14ac:dyDescent="0.2"/>
  <cols>
    <col min="1" max="1" width="10" style="2" bestFit="1" customWidth="1"/>
    <col min="2" max="7" width="9.140625" style="2"/>
    <col min="8" max="8" width="5.140625" style="2" customWidth="1"/>
    <col min="9" max="9" width="21.42578125" style="3" customWidth="1"/>
    <col min="10" max="10" width="53.85546875" style="2" customWidth="1"/>
    <col min="11" max="11" width="21.5703125" style="3" customWidth="1"/>
    <col min="12" max="12" width="16.5703125" style="4" customWidth="1"/>
    <col min="13" max="13" width="21.7109375" style="2" customWidth="1"/>
    <col min="14" max="14" width="15.85546875" style="2" bestFit="1" customWidth="1"/>
    <col min="15" max="16384" width="9.140625" style="2"/>
  </cols>
  <sheetData>
    <row r="2" spans="9:13" ht="12.75" customHeight="1" x14ac:dyDescent="0.2"/>
    <row r="3" spans="9:13" hidden="1" x14ac:dyDescent="0.2"/>
    <row r="4" spans="9:13" ht="9" customHeight="1" thickBot="1" x14ac:dyDescent="0.25"/>
    <row r="5" spans="9:13" ht="56.25" customHeight="1" thickBot="1" x14ac:dyDescent="0.25">
      <c r="J5" s="37" t="s">
        <v>29</v>
      </c>
      <c r="K5" s="38"/>
      <c r="L5" s="39"/>
    </row>
    <row r="6" spans="9:13" ht="15" thickBot="1" x14ac:dyDescent="0.25"/>
    <row r="7" spans="9:13" ht="16.5" customHeight="1" x14ac:dyDescent="0.2">
      <c r="I7" s="23" t="s">
        <v>0</v>
      </c>
      <c r="J7" s="24" t="s">
        <v>1</v>
      </c>
      <c r="K7" s="24" t="s">
        <v>2</v>
      </c>
      <c r="L7" s="24" t="s">
        <v>25</v>
      </c>
      <c r="M7" s="25" t="s">
        <v>26</v>
      </c>
    </row>
    <row r="8" spans="9:13" s="1" customFormat="1" ht="15" customHeight="1" x14ac:dyDescent="0.2">
      <c r="I8" s="19">
        <f>Tabela!J9</f>
        <v>40020891</v>
      </c>
      <c r="J8" s="16" t="str">
        <f>Tabela!K9</f>
        <v>Fone de Ouvido Noise Cancelling Pro</v>
      </c>
      <c r="K8" s="26">
        <f ca="1">Tabela!L9</f>
        <v>72</v>
      </c>
      <c r="L8" s="1">
        <f ca="1">RANDBETWEEN(1,500)</f>
        <v>34</v>
      </c>
      <c r="M8" s="17">
        <f ca="1">L8*K8</f>
        <v>2448</v>
      </c>
    </row>
    <row r="9" spans="9:13" ht="15" customHeight="1" x14ac:dyDescent="0.2">
      <c r="I9" s="19">
        <f>Tabela!J10</f>
        <v>40020892</v>
      </c>
      <c r="J9" s="16" t="str">
        <f>Tabela!K10</f>
        <v>Soundbar Surround 5.1</v>
      </c>
      <c r="K9" s="26">
        <f ca="1">Tabela!L10</f>
        <v>156</v>
      </c>
      <c r="L9" s="1">
        <f t="shared" ref="L9:L27" ca="1" si="0">RANDBETWEEN(1,500)</f>
        <v>235</v>
      </c>
      <c r="M9" s="17">
        <f t="shared" ref="M9:M27" ca="1" si="1">L9*K9</f>
        <v>36660</v>
      </c>
    </row>
    <row r="10" spans="9:13" ht="15" customHeight="1" x14ac:dyDescent="0.2">
      <c r="I10" s="19">
        <f>Tabela!J11</f>
        <v>40020893</v>
      </c>
      <c r="J10" s="16" t="str">
        <f>Tabela!K11</f>
        <v>Caixa de Som Bluetooth À Prova D'água</v>
      </c>
      <c r="K10" s="26">
        <f ca="1">Tabela!L11</f>
        <v>69</v>
      </c>
      <c r="L10" s="1">
        <f t="shared" ca="1" si="0"/>
        <v>160</v>
      </c>
      <c r="M10" s="17">
        <f t="shared" ca="1" si="1"/>
        <v>11040</v>
      </c>
    </row>
    <row r="11" spans="9:13" ht="15" customHeight="1" x14ac:dyDescent="0.2">
      <c r="I11" s="19">
        <f>Tabela!J12</f>
        <v>40020894</v>
      </c>
      <c r="J11" s="16" t="str">
        <f>Tabela!K12</f>
        <v>Microfone Condensador USB</v>
      </c>
      <c r="K11" s="26">
        <f ca="1">Tabela!L12</f>
        <v>206</v>
      </c>
      <c r="L11" s="1">
        <f t="shared" ca="1" si="0"/>
        <v>480</v>
      </c>
      <c r="M11" s="17">
        <f t="shared" ca="1" si="1"/>
        <v>98880</v>
      </c>
    </row>
    <row r="12" spans="9:13" ht="15" customHeight="1" x14ac:dyDescent="0.2">
      <c r="I12" s="19">
        <f>Tabela!J13</f>
        <v>40020895</v>
      </c>
      <c r="J12" s="16" t="str">
        <f>Tabela!K13</f>
        <v>Mouse Gamer RGB 12.000 DPI</v>
      </c>
      <c r="K12" s="26">
        <f ca="1">Tabela!L13</f>
        <v>317</v>
      </c>
      <c r="L12" s="1">
        <f t="shared" ca="1" si="0"/>
        <v>417</v>
      </c>
      <c r="M12" s="17">
        <f t="shared" ca="1" si="1"/>
        <v>132189</v>
      </c>
    </row>
    <row r="13" spans="9:13" ht="15" customHeight="1" x14ac:dyDescent="0.2">
      <c r="I13" s="19">
        <f>Tabela!J14</f>
        <v>40020896</v>
      </c>
      <c r="J13" s="16" t="str">
        <f>Tabela!K14</f>
        <v>Teclado Mecânico Compacto (60%)</v>
      </c>
      <c r="K13" s="26">
        <f ca="1">Tabela!L14</f>
        <v>167</v>
      </c>
      <c r="L13" s="1">
        <f t="shared" ca="1" si="0"/>
        <v>294</v>
      </c>
      <c r="M13" s="17">
        <f t="shared" ca="1" si="1"/>
        <v>49098</v>
      </c>
    </row>
    <row r="14" spans="9:13" ht="15" customHeight="1" x14ac:dyDescent="0.2">
      <c r="I14" s="19">
        <f>Tabela!J15</f>
        <v>40020897</v>
      </c>
      <c r="J14" s="16" t="str">
        <f>Tabela!K15</f>
        <v>Monitor UltraWide 34"</v>
      </c>
      <c r="K14" s="26">
        <f ca="1">Tabela!L15</f>
        <v>491</v>
      </c>
      <c r="L14" s="1">
        <f t="shared" ca="1" si="0"/>
        <v>167</v>
      </c>
      <c r="M14" s="17">
        <f t="shared" ca="1" si="1"/>
        <v>81997</v>
      </c>
    </row>
    <row r="15" spans="9:13" ht="15" customHeight="1" x14ac:dyDescent="0.2">
      <c r="I15" s="19">
        <f>Tabela!J16</f>
        <v>40020898</v>
      </c>
      <c r="J15" s="16" t="str">
        <f>Tabela!K16</f>
        <v>Webcam Full HD 1080p</v>
      </c>
      <c r="K15" s="26">
        <f ca="1">Tabela!L16</f>
        <v>79</v>
      </c>
      <c r="L15" s="1">
        <f t="shared" ca="1" si="0"/>
        <v>69</v>
      </c>
      <c r="M15" s="17">
        <f t="shared" ca="1" si="1"/>
        <v>5451</v>
      </c>
    </row>
    <row r="16" spans="9:13" ht="15" customHeight="1" x14ac:dyDescent="0.2">
      <c r="I16" s="19">
        <f>Tabela!J17</f>
        <v>40020899</v>
      </c>
      <c r="J16" s="16" t="str">
        <f>Tabela!K17</f>
        <v>Smartwatch Sport Edition</v>
      </c>
      <c r="K16" s="26">
        <f ca="1">Tabela!L17</f>
        <v>240</v>
      </c>
      <c r="L16" s="1">
        <f t="shared" ca="1" si="0"/>
        <v>446</v>
      </c>
      <c r="M16" s="17">
        <f t="shared" ca="1" si="1"/>
        <v>107040</v>
      </c>
    </row>
    <row r="17" spans="9:13" ht="15" customHeight="1" x14ac:dyDescent="0.2">
      <c r="I17" s="19">
        <f>Tabela!J18</f>
        <v>40020900</v>
      </c>
      <c r="J17" s="16" t="str">
        <f>Tabela!K18</f>
        <v>Carregador por Indução 15W</v>
      </c>
      <c r="K17" s="26">
        <f ca="1">Tabela!L18</f>
        <v>84</v>
      </c>
      <c r="L17" s="1">
        <f t="shared" ca="1" si="0"/>
        <v>104</v>
      </c>
      <c r="M17" s="17">
        <f t="shared" ca="1" si="1"/>
        <v>8736</v>
      </c>
    </row>
    <row r="18" spans="9:13" ht="15" customHeight="1" x14ac:dyDescent="0.2">
      <c r="I18" s="19">
        <f>Tabela!J19</f>
        <v>40020901</v>
      </c>
      <c r="J18" s="16" t="str">
        <f>Tabela!K19</f>
        <v>Smartphone Z-Series</v>
      </c>
      <c r="K18" s="26">
        <f ca="1">Tabela!L19</f>
        <v>121</v>
      </c>
      <c r="L18" s="1">
        <f t="shared" ca="1" si="0"/>
        <v>2</v>
      </c>
      <c r="M18" s="17">
        <f t="shared" ca="1" si="1"/>
        <v>242</v>
      </c>
    </row>
    <row r="19" spans="9:13" ht="15" customHeight="1" x14ac:dyDescent="0.2">
      <c r="I19" s="19">
        <f>Tabela!J20</f>
        <v>40020902</v>
      </c>
      <c r="J19" s="16" t="str">
        <f>Tabela!K20</f>
        <v>Power Bank 20.000mAh</v>
      </c>
      <c r="K19" s="26">
        <f ca="1">Tabela!L20</f>
        <v>288</v>
      </c>
      <c r="L19" s="1">
        <f t="shared" ca="1" si="0"/>
        <v>184</v>
      </c>
      <c r="M19" s="17">
        <f t="shared" ca="1" si="1"/>
        <v>52992</v>
      </c>
    </row>
    <row r="20" spans="9:13" ht="15" customHeight="1" x14ac:dyDescent="0.2">
      <c r="I20" s="19">
        <f>Tabela!J21</f>
        <v>40020903</v>
      </c>
      <c r="J20" s="16" t="str">
        <f>Tabela!K21</f>
        <v>SSD NVMe 1TB</v>
      </c>
      <c r="K20" s="26">
        <f ca="1">Tabela!L21</f>
        <v>464</v>
      </c>
      <c r="L20" s="1">
        <f t="shared" ca="1" si="0"/>
        <v>142</v>
      </c>
      <c r="M20" s="17">
        <f t="shared" ca="1" si="1"/>
        <v>65888</v>
      </c>
    </row>
    <row r="21" spans="9:13" ht="15" customHeight="1" x14ac:dyDescent="0.2">
      <c r="I21" s="19">
        <f>Tabela!J22</f>
        <v>40020904</v>
      </c>
      <c r="J21" s="16" t="str">
        <f>Tabela!K22</f>
        <v>Placa de Vídeo RTX Next-Gen</v>
      </c>
      <c r="K21" s="26">
        <f ca="1">Tabela!L22</f>
        <v>266</v>
      </c>
      <c r="L21" s="1">
        <f t="shared" ca="1" si="0"/>
        <v>294</v>
      </c>
      <c r="M21" s="17">
        <f t="shared" ca="1" si="1"/>
        <v>78204</v>
      </c>
    </row>
    <row r="22" spans="9:13" ht="15" customHeight="1" x14ac:dyDescent="0.2">
      <c r="I22" s="19">
        <f>Tabela!J23</f>
        <v>40020905</v>
      </c>
      <c r="J22" s="16" t="str">
        <f>Tabela!K23</f>
        <v>Memória RAM 16GB DDR5</v>
      </c>
      <c r="K22" s="26">
        <f ca="1">Tabela!L23</f>
        <v>163</v>
      </c>
      <c r="L22" s="1">
        <f t="shared" ca="1" si="0"/>
        <v>481</v>
      </c>
      <c r="M22" s="17">
        <f t="shared" ca="1" si="1"/>
        <v>78403</v>
      </c>
    </row>
    <row r="23" spans="9:13" ht="15" customHeight="1" x14ac:dyDescent="0.2">
      <c r="I23" s="19">
        <f>Tabela!J24</f>
        <v>40020906</v>
      </c>
      <c r="J23" s="16" t="str">
        <f>Tabela!K24</f>
        <v>Roteador Wi-Fi 6 Mesh</v>
      </c>
      <c r="K23" s="26">
        <f ca="1">Tabela!L24</f>
        <v>344</v>
      </c>
      <c r="L23" s="1">
        <f t="shared" ca="1" si="0"/>
        <v>397</v>
      </c>
      <c r="M23" s="17">
        <f t="shared" ca="1" si="1"/>
        <v>136568</v>
      </c>
    </row>
    <row r="24" spans="9:13" ht="15" customHeight="1" x14ac:dyDescent="0.2">
      <c r="I24" s="19">
        <f>Tabela!J25</f>
        <v>40020907</v>
      </c>
      <c r="J24" s="16" t="str">
        <f>Tabela!K25</f>
        <v>Lâmpada Inteligente Wi-Fi</v>
      </c>
      <c r="K24" s="26">
        <f ca="1">Tabela!L25</f>
        <v>387</v>
      </c>
      <c r="L24" s="1">
        <f t="shared" ca="1" si="0"/>
        <v>93</v>
      </c>
      <c r="M24" s="17">
        <f t="shared" ca="1" si="1"/>
        <v>35991</v>
      </c>
    </row>
    <row r="25" spans="9:13" ht="15" customHeight="1" x14ac:dyDescent="0.2">
      <c r="I25" s="19">
        <f>Tabela!J26</f>
        <v>40020908</v>
      </c>
      <c r="J25" s="16" t="str">
        <f>Tabela!K26</f>
        <v>Fechadura Eletrônica Biométrica</v>
      </c>
      <c r="K25" s="26">
        <f ca="1">Tabela!L26</f>
        <v>61</v>
      </c>
      <c r="L25" s="1">
        <f t="shared" ca="1" si="0"/>
        <v>296</v>
      </c>
      <c r="M25" s="17">
        <f t="shared" ca="1" si="1"/>
        <v>18056</v>
      </c>
    </row>
    <row r="26" spans="9:13" ht="15" customHeight="1" x14ac:dyDescent="0.2">
      <c r="I26" s="19">
        <f>Tabela!J27</f>
        <v>40020909</v>
      </c>
      <c r="J26" s="16" t="str">
        <f>Tabela!K27</f>
        <v>Hub de Automação Residencial</v>
      </c>
      <c r="K26" s="26">
        <f ca="1">Tabela!L27</f>
        <v>431</v>
      </c>
      <c r="L26" s="1">
        <f t="shared" ca="1" si="0"/>
        <v>56</v>
      </c>
      <c r="M26" s="17">
        <f t="shared" ca="1" si="1"/>
        <v>24136</v>
      </c>
    </row>
    <row r="27" spans="9:13" ht="15" customHeight="1" thickBot="1" x14ac:dyDescent="0.25">
      <c r="I27" s="20">
        <f>Tabela!J28</f>
        <v>40020910</v>
      </c>
      <c r="J27" s="21" t="str">
        <f>Tabela!K28</f>
        <v>Adaptador Hub USB-C 7 em 1</v>
      </c>
      <c r="K27" s="27">
        <f ca="1">Tabela!L28</f>
        <v>475</v>
      </c>
      <c r="L27" s="22">
        <f t="shared" ca="1" si="0"/>
        <v>1</v>
      </c>
      <c r="M27" s="18">
        <f t="shared" ca="1" si="1"/>
        <v>475</v>
      </c>
    </row>
    <row r="28" spans="9:13" ht="15" customHeight="1" thickBot="1" x14ac:dyDescent="0.25">
      <c r="I28" s="2"/>
      <c r="L28" s="2"/>
    </row>
    <row r="29" spans="9:13" ht="42.75" customHeight="1" x14ac:dyDescent="0.2">
      <c r="I29" s="31" t="s">
        <v>27</v>
      </c>
      <c r="J29" s="32"/>
      <c r="K29" s="32"/>
      <c r="L29" s="32"/>
      <c r="M29" s="33"/>
    </row>
    <row r="30" spans="9:13" ht="52.5" customHeight="1" thickBot="1" x14ac:dyDescent="0.8">
      <c r="I30" s="34">
        <f ca="1">SUM(M8:M27)</f>
        <v>1024494</v>
      </c>
      <c r="J30" s="35"/>
      <c r="K30" s="35"/>
      <c r="L30" s="35"/>
      <c r="M30" s="36"/>
    </row>
    <row r="31" spans="9:13" x14ac:dyDescent="0.2">
      <c r="I31" s="2"/>
      <c r="J31" s="3"/>
    </row>
  </sheetData>
  <mergeCells count="3">
    <mergeCell ref="I29:M29"/>
    <mergeCell ref="I30:M30"/>
    <mergeCell ref="J5:L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260F-B5A0-43B3-8A6E-9F7CF812B89C}">
  <dimension ref="G5:L16"/>
  <sheetViews>
    <sheetView workbookViewId="0">
      <selection activeCell="I7" sqref="I7"/>
    </sheetView>
  </sheetViews>
  <sheetFormatPr defaultRowHeight="15" x14ac:dyDescent="0.25"/>
  <cols>
    <col min="1" max="6" width="9.140625" style="40"/>
    <col min="7" max="12" width="15.7109375" style="40" customWidth="1"/>
    <col min="13" max="16384" width="9.140625" style="40"/>
  </cols>
  <sheetData>
    <row r="5" spans="7:12" x14ac:dyDescent="0.25">
      <c r="G5" s="41" t="s">
        <v>30</v>
      </c>
      <c r="H5" s="41" t="s">
        <v>31</v>
      </c>
      <c r="I5" s="41" t="s">
        <v>32</v>
      </c>
      <c r="J5" s="41" t="s">
        <v>33</v>
      </c>
      <c r="K5" s="41" t="s">
        <v>34</v>
      </c>
      <c r="L5" s="41" t="s">
        <v>35</v>
      </c>
    </row>
    <row r="6" spans="7:12" ht="26.25" customHeight="1" x14ac:dyDescent="0.25">
      <c r="G6" s="42">
        <f ca="1">RANDBETWEEN(1, 10000)</f>
        <v>9295</v>
      </c>
      <c r="H6" s="42">
        <f ca="1">RANDBETWEEN(1, 10000)</f>
        <v>8570</v>
      </c>
      <c r="I6" s="43">
        <f ca="1">G6+H6</f>
        <v>17865</v>
      </c>
      <c r="J6" s="43">
        <f ca="1">G6-H6</f>
        <v>725</v>
      </c>
      <c r="K6" s="43">
        <f ca="1">G6*H6</f>
        <v>79658150</v>
      </c>
      <c r="L6" s="43">
        <f ca="1">G6/H6</f>
        <v>1.0845974329054842</v>
      </c>
    </row>
    <row r="7" spans="7:12" ht="26.25" customHeight="1" x14ac:dyDescent="0.25">
      <c r="G7" s="42">
        <f t="shared" ref="G7:H16" ca="1" si="0">RANDBETWEEN(1, 10000)</f>
        <v>3375</v>
      </c>
      <c r="H7" s="42">
        <f t="shared" ca="1" si="0"/>
        <v>2745</v>
      </c>
      <c r="I7" s="43">
        <f t="shared" ref="I7:I16" ca="1" si="1">G7+H7</f>
        <v>6120</v>
      </c>
      <c r="J7" s="43">
        <f t="shared" ref="J7:J16" ca="1" si="2">G7-H7</f>
        <v>630</v>
      </c>
      <c r="K7" s="43">
        <f t="shared" ref="K7:K16" ca="1" si="3">G7*H7</f>
        <v>9264375</v>
      </c>
      <c r="L7" s="43">
        <f t="shared" ref="L7:L16" ca="1" si="4">G7/H7</f>
        <v>1.2295081967213115</v>
      </c>
    </row>
    <row r="8" spans="7:12" ht="26.25" customHeight="1" x14ac:dyDescent="0.25">
      <c r="G8" s="42">
        <f t="shared" ca="1" si="0"/>
        <v>9113</v>
      </c>
      <c r="H8" s="42">
        <f t="shared" ca="1" si="0"/>
        <v>5839</v>
      </c>
      <c r="I8" s="43">
        <f t="shared" ca="1" si="1"/>
        <v>14952</v>
      </c>
      <c r="J8" s="43">
        <f t="shared" ca="1" si="2"/>
        <v>3274</v>
      </c>
      <c r="K8" s="43">
        <f t="shared" ca="1" si="3"/>
        <v>53210807</v>
      </c>
      <c r="L8" s="43">
        <f t="shared" ca="1" si="4"/>
        <v>1.5607124507621168</v>
      </c>
    </row>
    <row r="9" spans="7:12" ht="26.25" customHeight="1" x14ac:dyDescent="0.25">
      <c r="G9" s="42">
        <f t="shared" ca="1" si="0"/>
        <v>7699</v>
      </c>
      <c r="H9" s="42">
        <f t="shared" ca="1" si="0"/>
        <v>4357</v>
      </c>
      <c r="I9" s="43">
        <f t="shared" ca="1" si="1"/>
        <v>12056</v>
      </c>
      <c r="J9" s="43">
        <f t="shared" ca="1" si="2"/>
        <v>3342</v>
      </c>
      <c r="K9" s="43">
        <f t="shared" ca="1" si="3"/>
        <v>33544543</v>
      </c>
      <c r="L9" s="43">
        <f t="shared" ca="1" si="4"/>
        <v>1.7670415423456507</v>
      </c>
    </row>
    <row r="10" spans="7:12" ht="26.25" customHeight="1" x14ac:dyDescent="0.25">
      <c r="G10" s="42">
        <f t="shared" ca="1" si="0"/>
        <v>8190</v>
      </c>
      <c r="H10" s="42">
        <f t="shared" ca="1" si="0"/>
        <v>4660</v>
      </c>
      <c r="I10" s="43">
        <f t="shared" ca="1" si="1"/>
        <v>12850</v>
      </c>
      <c r="J10" s="43">
        <f t="shared" ca="1" si="2"/>
        <v>3530</v>
      </c>
      <c r="K10" s="43">
        <f t="shared" ca="1" si="3"/>
        <v>38165400</v>
      </c>
      <c r="L10" s="43">
        <f t="shared" ca="1" si="4"/>
        <v>1.757510729613734</v>
      </c>
    </row>
    <row r="11" spans="7:12" ht="26.25" customHeight="1" x14ac:dyDescent="0.25">
      <c r="G11" s="42">
        <f t="shared" ca="1" si="0"/>
        <v>4296</v>
      </c>
      <c r="H11" s="42">
        <f t="shared" ca="1" si="0"/>
        <v>7112</v>
      </c>
      <c r="I11" s="43">
        <f t="shared" ca="1" si="1"/>
        <v>11408</v>
      </c>
      <c r="J11" s="43">
        <f t="shared" ca="1" si="2"/>
        <v>-2816</v>
      </c>
      <c r="K11" s="43">
        <f t="shared" ca="1" si="3"/>
        <v>30553152</v>
      </c>
      <c r="L11" s="43">
        <f t="shared" ca="1" si="4"/>
        <v>0.60404949381327333</v>
      </c>
    </row>
    <row r="12" spans="7:12" ht="26.25" customHeight="1" x14ac:dyDescent="0.25">
      <c r="G12" s="42">
        <f t="shared" ca="1" si="0"/>
        <v>4116</v>
      </c>
      <c r="H12" s="42">
        <f t="shared" ca="1" si="0"/>
        <v>9031</v>
      </c>
      <c r="I12" s="43">
        <f t="shared" ca="1" si="1"/>
        <v>13147</v>
      </c>
      <c r="J12" s="43">
        <f t="shared" ca="1" si="2"/>
        <v>-4915</v>
      </c>
      <c r="K12" s="43">
        <f t="shared" ca="1" si="3"/>
        <v>37171596</v>
      </c>
      <c r="L12" s="43">
        <f t="shared" ca="1" si="4"/>
        <v>0.45576348134204409</v>
      </c>
    </row>
    <row r="13" spans="7:12" ht="26.25" customHeight="1" x14ac:dyDescent="0.25">
      <c r="G13" s="42">
        <f t="shared" ca="1" si="0"/>
        <v>430</v>
      </c>
      <c r="H13" s="42">
        <f t="shared" ca="1" si="0"/>
        <v>1197</v>
      </c>
      <c r="I13" s="43">
        <f t="shared" ca="1" si="1"/>
        <v>1627</v>
      </c>
      <c r="J13" s="43">
        <f t="shared" ca="1" si="2"/>
        <v>-767</v>
      </c>
      <c r="K13" s="43">
        <f t="shared" ca="1" si="3"/>
        <v>514710</v>
      </c>
      <c r="L13" s="43">
        <f t="shared" ca="1" si="4"/>
        <v>0.35923141186299079</v>
      </c>
    </row>
    <row r="14" spans="7:12" ht="26.25" customHeight="1" x14ac:dyDescent="0.25">
      <c r="G14" s="42">
        <f t="shared" ca="1" si="0"/>
        <v>9387</v>
      </c>
      <c r="H14" s="42">
        <f t="shared" ca="1" si="0"/>
        <v>6965</v>
      </c>
      <c r="I14" s="43">
        <f t="shared" ca="1" si="1"/>
        <v>16352</v>
      </c>
      <c r="J14" s="43">
        <f t="shared" ca="1" si="2"/>
        <v>2422</v>
      </c>
      <c r="K14" s="43">
        <f t="shared" ca="1" si="3"/>
        <v>65380455</v>
      </c>
      <c r="L14" s="43">
        <f t="shared" ca="1" si="4"/>
        <v>1.3477386934673368</v>
      </c>
    </row>
    <row r="15" spans="7:12" ht="26.25" customHeight="1" x14ac:dyDescent="0.25">
      <c r="G15" s="42">
        <f t="shared" ca="1" si="0"/>
        <v>9292</v>
      </c>
      <c r="H15" s="42">
        <f t="shared" ca="1" si="0"/>
        <v>6311</v>
      </c>
      <c r="I15" s="43">
        <f t="shared" ca="1" si="1"/>
        <v>15603</v>
      </c>
      <c r="J15" s="43">
        <f t="shared" ca="1" si="2"/>
        <v>2981</v>
      </c>
      <c r="K15" s="43">
        <f t="shared" ca="1" si="3"/>
        <v>58641812</v>
      </c>
      <c r="L15" s="43">
        <f t="shared" ca="1" si="4"/>
        <v>1.4723498653145302</v>
      </c>
    </row>
    <row r="16" spans="7:12" ht="26.25" customHeight="1" x14ac:dyDescent="0.25">
      <c r="G16" s="42">
        <f t="shared" ca="1" si="0"/>
        <v>2221</v>
      </c>
      <c r="H16" s="42">
        <f t="shared" ca="1" si="0"/>
        <v>8990</v>
      </c>
      <c r="I16" s="43">
        <f t="shared" ca="1" si="1"/>
        <v>11211</v>
      </c>
      <c r="J16" s="43">
        <f t="shared" ca="1" si="2"/>
        <v>-6769</v>
      </c>
      <c r="K16" s="43">
        <f t="shared" ca="1" si="3"/>
        <v>19966790</v>
      </c>
      <c r="L16" s="43">
        <f t="shared" ca="1" si="4"/>
        <v>0.24705228031145718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1D46-ED75-4C8E-A49B-6DCF9A10A026}">
  <dimension ref="E1:Q15"/>
  <sheetViews>
    <sheetView topLeftCell="B1" workbookViewId="0">
      <selection activeCell="Q11" sqref="Q11"/>
    </sheetView>
  </sheetViews>
  <sheetFormatPr defaultRowHeight="15" x14ac:dyDescent="0.25"/>
  <cols>
    <col min="1" max="4" width="9.140625" style="40"/>
    <col min="5" max="11" width="15.7109375" style="40" customWidth="1"/>
    <col min="12" max="13" width="15.7109375" style="50" customWidth="1"/>
    <col min="14" max="14" width="15.7109375" style="40" customWidth="1"/>
    <col min="15" max="16384" width="9.140625" style="40"/>
  </cols>
  <sheetData>
    <row r="1" spans="5:14" ht="37.5" customHeight="1" thickBot="1" x14ac:dyDescent="0.3"/>
    <row r="2" spans="5:14" ht="28.5" customHeight="1" thickBot="1" x14ac:dyDescent="0.3">
      <c r="E2" s="47"/>
      <c r="F2" s="48"/>
      <c r="G2" s="48"/>
      <c r="H2" s="48"/>
      <c r="I2" s="48"/>
      <c r="J2" s="48"/>
      <c r="K2" s="48"/>
      <c r="L2" s="48"/>
      <c r="M2" s="48"/>
      <c r="N2" s="49"/>
    </row>
    <row r="3" spans="5:14" ht="31.5" x14ac:dyDescent="0.25">
      <c r="E3" s="46"/>
      <c r="F3" s="46"/>
      <c r="G3" s="46"/>
      <c r="H3" s="46"/>
      <c r="I3" s="46"/>
      <c r="J3" s="46"/>
    </row>
    <row r="4" spans="5:14" x14ac:dyDescent="0.25">
      <c r="E4" s="41" t="s">
        <v>30</v>
      </c>
      <c r="F4" s="41" t="s">
        <v>31</v>
      </c>
      <c r="G4" s="41" t="s">
        <v>32</v>
      </c>
      <c r="H4" s="41" t="s">
        <v>33</v>
      </c>
      <c r="I4" s="41" t="s">
        <v>34</v>
      </c>
      <c r="J4" s="41" t="s">
        <v>35</v>
      </c>
      <c r="K4" s="41" t="s">
        <v>36</v>
      </c>
      <c r="L4" s="41" t="s">
        <v>37</v>
      </c>
      <c r="M4" s="41" t="s">
        <v>38</v>
      </c>
      <c r="N4" s="41" t="s">
        <v>39</v>
      </c>
    </row>
    <row r="5" spans="5:14" ht="26.25" customHeight="1" x14ac:dyDescent="0.25">
      <c r="E5" s="43">
        <f ca="1">RANDBETWEEN(1, 10000)</f>
        <v>2360</v>
      </c>
      <c r="F5" s="43">
        <f ca="1">RANDBETWEEN(1, 10000)</f>
        <v>5691</v>
      </c>
      <c r="G5" s="43">
        <f ca="1">SUM(E5:F5)</f>
        <v>8051</v>
      </c>
      <c r="H5" s="43">
        <f ca="1">E5-F5</f>
        <v>-3331</v>
      </c>
      <c r="I5" s="45">
        <f ca="1">E5*F5</f>
        <v>13430760</v>
      </c>
      <c r="J5" s="44">
        <f ca="1">E5/F5</f>
        <v>0.4146898611843261</v>
      </c>
      <c r="K5" s="44">
        <f ca="1">MEDIAN(E5:F5)</f>
        <v>4025.5</v>
      </c>
      <c r="L5" s="44">
        <f ca="1">MAX(E5:F5)</f>
        <v>5691</v>
      </c>
      <c r="M5" s="44">
        <f ca="1">MIN(E5:F5)</f>
        <v>2360</v>
      </c>
      <c r="N5" s="44" t="str">
        <f ca="1">IF(E5&gt;=F5,"O 1° é maior","O 2° é maior")</f>
        <v>O 2° é maior</v>
      </c>
    </row>
    <row r="6" spans="5:14" ht="26.25" customHeight="1" x14ac:dyDescent="0.25">
      <c r="E6" s="43">
        <f t="shared" ref="E6:F15" ca="1" si="0">RANDBETWEEN(1, 10000)</f>
        <v>7635</v>
      </c>
      <c r="F6" s="43">
        <f t="shared" ca="1" si="0"/>
        <v>8035</v>
      </c>
      <c r="G6" s="43">
        <f t="shared" ref="G6:G15" ca="1" si="1">SUM(E6:F6)</f>
        <v>15670</v>
      </c>
      <c r="H6" s="43">
        <f t="shared" ref="H6:H15" ca="1" si="2">E6-F6</f>
        <v>-400</v>
      </c>
      <c r="I6" s="45">
        <f t="shared" ref="I6:I15" ca="1" si="3">E6*F6</f>
        <v>61347225</v>
      </c>
      <c r="J6" s="44">
        <f t="shared" ref="J6:J15" ca="1" si="4">E6/F6</f>
        <v>0.9502177971375233</v>
      </c>
      <c r="K6" s="44">
        <f t="shared" ref="K6:K15" ca="1" si="5">MEDIAN(E6:F6)</f>
        <v>7835</v>
      </c>
      <c r="L6" s="44">
        <f t="shared" ref="L6:L15" ca="1" si="6">MAX(E6:F6)</f>
        <v>8035</v>
      </c>
      <c r="M6" s="44">
        <f t="shared" ref="M6:M15" ca="1" si="7">MIN(E6:F6)</f>
        <v>7635</v>
      </c>
      <c r="N6" s="44" t="str">
        <f t="shared" ref="N6:N15" ca="1" si="8">IF(E6&gt;=F6,"O 1° é maior","O 2° é maior")</f>
        <v>O 2° é maior</v>
      </c>
    </row>
    <row r="7" spans="5:14" ht="26.25" customHeight="1" x14ac:dyDescent="0.25">
      <c r="E7" s="43">
        <f t="shared" ca="1" si="0"/>
        <v>1378</v>
      </c>
      <c r="F7" s="43">
        <f t="shared" ca="1" si="0"/>
        <v>4860</v>
      </c>
      <c r="G7" s="43">
        <f t="shared" ca="1" si="1"/>
        <v>6238</v>
      </c>
      <c r="H7" s="43">
        <f t="shared" ca="1" si="2"/>
        <v>-3482</v>
      </c>
      <c r="I7" s="45">
        <f t="shared" ca="1" si="3"/>
        <v>6697080</v>
      </c>
      <c r="J7" s="44">
        <f t="shared" ca="1" si="4"/>
        <v>0.28353909465020577</v>
      </c>
      <c r="K7" s="44">
        <f t="shared" ca="1" si="5"/>
        <v>3119</v>
      </c>
      <c r="L7" s="44">
        <f t="shared" ca="1" si="6"/>
        <v>4860</v>
      </c>
      <c r="M7" s="44">
        <f t="shared" ca="1" si="7"/>
        <v>1378</v>
      </c>
      <c r="N7" s="44" t="str">
        <f t="shared" ca="1" si="8"/>
        <v>O 2° é maior</v>
      </c>
    </row>
    <row r="8" spans="5:14" ht="26.25" customHeight="1" x14ac:dyDescent="0.25">
      <c r="E8" s="43">
        <f t="shared" ca="1" si="0"/>
        <v>6038</v>
      </c>
      <c r="F8" s="43">
        <f t="shared" ca="1" si="0"/>
        <v>7056</v>
      </c>
      <c r="G8" s="43">
        <f t="shared" ca="1" si="1"/>
        <v>13094</v>
      </c>
      <c r="H8" s="43">
        <f t="shared" ca="1" si="2"/>
        <v>-1018</v>
      </c>
      <c r="I8" s="45">
        <f t="shared" ca="1" si="3"/>
        <v>42604128</v>
      </c>
      <c r="J8" s="44">
        <f t="shared" ca="1" si="4"/>
        <v>0.85572562358276649</v>
      </c>
      <c r="K8" s="44">
        <f t="shared" ca="1" si="5"/>
        <v>6547</v>
      </c>
      <c r="L8" s="44">
        <f t="shared" ca="1" si="6"/>
        <v>7056</v>
      </c>
      <c r="M8" s="44">
        <f t="shared" ca="1" si="7"/>
        <v>6038</v>
      </c>
      <c r="N8" s="44" t="str">
        <f t="shared" ca="1" si="8"/>
        <v>O 2° é maior</v>
      </c>
    </row>
    <row r="9" spans="5:14" ht="26.25" customHeight="1" x14ac:dyDescent="0.25">
      <c r="E9" s="43">
        <f t="shared" ca="1" si="0"/>
        <v>6558</v>
      </c>
      <c r="F9" s="43">
        <f t="shared" ca="1" si="0"/>
        <v>4699</v>
      </c>
      <c r="G9" s="43">
        <f t="shared" ca="1" si="1"/>
        <v>11257</v>
      </c>
      <c r="H9" s="43">
        <f t="shared" ca="1" si="2"/>
        <v>1859</v>
      </c>
      <c r="I9" s="45">
        <f t="shared" ca="1" si="3"/>
        <v>30816042</v>
      </c>
      <c r="J9" s="44">
        <f t="shared" ca="1" si="4"/>
        <v>1.3956160885294744</v>
      </c>
      <c r="K9" s="44">
        <f t="shared" ca="1" si="5"/>
        <v>5628.5</v>
      </c>
      <c r="L9" s="44">
        <f t="shared" ca="1" si="6"/>
        <v>6558</v>
      </c>
      <c r="M9" s="44">
        <f t="shared" ca="1" si="7"/>
        <v>4699</v>
      </c>
      <c r="N9" s="44" t="str">
        <f t="shared" ca="1" si="8"/>
        <v>O 1° é maior</v>
      </c>
    </row>
    <row r="10" spans="5:14" ht="26.25" customHeight="1" x14ac:dyDescent="0.25">
      <c r="E10" s="43">
        <f t="shared" ca="1" si="0"/>
        <v>7792</v>
      </c>
      <c r="F10" s="43">
        <f t="shared" ca="1" si="0"/>
        <v>8961</v>
      </c>
      <c r="G10" s="43">
        <f t="shared" ca="1" si="1"/>
        <v>16753</v>
      </c>
      <c r="H10" s="43">
        <f t="shared" ca="1" si="2"/>
        <v>-1169</v>
      </c>
      <c r="I10" s="45">
        <f t="shared" ca="1" si="3"/>
        <v>69824112</v>
      </c>
      <c r="J10" s="44">
        <f t="shared" ca="1" si="4"/>
        <v>0.86954580961946215</v>
      </c>
      <c r="K10" s="44">
        <f t="shared" ca="1" si="5"/>
        <v>8376.5</v>
      </c>
      <c r="L10" s="44">
        <f t="shared" ca="1" si="6"/>
        <v>8961</v>
      </c>
      <c r="M10" s="44">
        <f t="shared" ca="1" si="7"/>
        <v>7792</v>
      </c>
      <c r="N10" s="44" t="str">
        <f t="shared" ca="1" si="8"/>
        <v>O 2° é maior</v>
      </c>
    </row>
    <row r="11" spans="5:14" ht="26.25" customHeight="1" x14ac:dyDescent="0.25">
      <c r="E11" s="43">
        <f t="shared" ca="1" si="0"/>
        <v>4873</v>
      </c>
      <c r="F11" s="43">
        <f t="shared" ca="1" si="0"/>
        <v>7005</v>
      </c>
      <c r="G11" s="43">
        <f t="shared" ca="1" si="1"/>
        <v>11878</v>
      </c>
      <c r="H11" s="43">
        <f t="shared" ca="1" si="2"/>
        <v>-2132</v>
      </c>
      <c r="I11" s="45">
        <f t="shared" ca="1" si="3"/>
        <v>34135365</v>
      </c>
      <c r="J11" s="44">
        <f t="shared" ca="1" si="4"/>
        <v>0.69564596716630978</v>
      </c>
      <c r="K11" s="44">
        <f t="shared" ca="1" si="5"/>
        <v>5939</v>
      </c>
      <c r="L11" s="44">
        <f t="shared" ca="1" si="6"/>
        <v>7005</v>
      </c>
      <c r="M11" s="44">
        <f t="shared" ca="1" si="7"/>
        <v>4873</v>
      </c>
      <c r="N11" s="44" t="str">
        <f t="shared" ca="1" si="8"/>
        <v>O 2° é maior</v>
      </c>
    </row>
    <row r="12" spans="5:14" ht="26.25" customHeight="1" x14ac:dyDescent="0.25">
      <c r="E12" s="43">
        <f t="shared" ca="1" si="0"/>
        <v>6420</v>
      </c>
      <c r="F12" s="43">
        <f t="shared" ca="1" si="0"/>
        <v>4276</v>
      </c>
      <c r="G12" s="43">
        <f t="shared" ca="1" si="1"/>
        <v>10696</v>
      </c>
      <c r="H12" s="43">
        <f t="shared" ca="1" si="2"/>
        <v>2144</v>
      </c>
      <c r="I12" s="45">
        <f t="shared" ca="1" si="3"/>
        <v>27451920</v>
      </c>
      <c r="J12" s="44">
        <f t="shared" ca="1" si="4"/>
        <v>1.5014031805425632</v>
      </c>
      <c r="K12" s="44">
        <f t="shared" ca="1" si="5"/>
        <v>5348</v>
      </c>
      <c r="L12" s="44">
        <f t="shared" ca="1" si="6"/>
        <v>6420</v>
      </c>
      <c r="M12" s="44">
        <f t="shared" ca="1" si="7"/>
        <v>4276</v>
      </c>
      <c r="N12" s="44" t="str">
        <f t="shared" ca="1" si="8"/>
        <v>O 1° é maior</v>
      </c>
    </row>
    <row r="13" spans="5:14" ht="26.25" customHeight="1" x14ac:dyDescent="0.25">
      <c r="E13" s="43">
        <f t="shared" ca="1" si="0"/>
        <v>7589</v>
      </c>
      <c r="F13" s="43">
        <f t="shared" ca="1" si="0"/>
        <v>4226</v>
      </c>
      <c r="G13" s="43">
        <f t="shared" ca="1" si="1"/>
        <v>11815</v>
      </c>
      <c r="H13" s="43">
        <f t="shared" ca="1" si="2"/>
        <v>3363</v>
      </c>
      <c r="I13" s="45">
        <f t="shared" ca="1" si="3"/>
        <v>32071114</v>
      </c>
      <c r="J13" s="44">
        <f t="shared" ca="1" si="4"/>
        <v>1.7957879791765263</v>
      </c>
      <c r="K13" s="44">
        <f t="shared" ca="1" si="5"/>
        <v>5907.5</v>
      </c>
      <c r="L13" s="44">
        <f t="shared" ca="1" si="6"/>
        <v>7589</v>
      </c>
      <c r="M13" s="44">
        <f t="shared" ca="1" si="7"/>
        <v>4226</v>
      </c>
      <c r="N13" s="44" t="str">
        <f t="shared" ca="1" si="8"/>
        <v>O 1° é maior</v>
      </c>
    </row>
    <row r="14" spans="5:14" ht="26.25" customHeight="1" x14ac:dyDescent="0.25">
      <c r="E14" s="43">
        <f t="shared" ca="1" si="0"/>
        <v>9337</v>
      </c>
      <c r="F14" s="43">
        <f t="shared" ca="1" si="0"/>
        <v>5613</v>
      </c>
      <c r="G14" s="43">
        <f t="shared" ca="1" si="1"/>
        <v>14950</v>
      </c>
      <c r="H14" s="43">
        <f t="shared" ca="1" si="2"/>
        <v>3724</v>
      </c>
      <c r="I14" s="45">
        <f t="shared" ca="1" si="3"/>
        <v>52408581</v>
      </c>
      <c r="J14" s="44">
        <f t="shared" ca="1" si="4"/>
        <v>1.663459825405309</v>
      </c>
      <c r="K14" s="44">
        <f t="shared" ca="1" si="5"/>
        <v>7475</v>
      </c>
      <c r="L14" s="44">
        <f t="shared" ca="1" si="6"/>
        <v>9337</v>
      </c>
      <c r="M14" s="44">
        <f t="shared" ca="1" si="7"/>
        <v>5613</v>
      </c>
      <c r="N14" s="44" t="str">
        <f t="shared" ca="1" si="8"/>
        <v>O 1° é maior</v>
      </c>
    </row>
    <row r="15" spans="5:14" ht="26.25" customHeight="1" x14ac:dyDescent="0.25">
      <c r="E15" s="43">
        <f t="shared" ca="1" si="0"/>
        <v>1100</v>
      </c>
      <c r="F15" s="43">
        <f t="shared" ca="1" si="0"/>
        <v>8156</v>
      </c>
      <c r="G15" s="43">
        <f t="shared" ca="1" si="1"/>
        <v>9256</v>
      </c>
      <c r="H15" s="43">
        <f t="shared" ca="1" si="2"/>
        <v>-7056</v>
      </c>
      <c r="I15" s="45">
        <f t="shared" ca="1" si="3"/>
        <v>8971600</v>
      </c>
      <c r="J15" s="44">
        <f t="shared" ca="1" si="4"/>
        <v>0.13487003433055419</v>
      </c>
      <c r="K15" s="44">
        <f t="shared" ca="1" si="5"/>
        <v>4628</v>
      </c>
      <c r="L15" s="44">
        <f t="shared" ca="1" si="6"/>
        <v>8156</v>
      </c>
      <c r="M15" s="44">
        <f t="shared" ca="1" si="7"/>
        <v>1100</v>
      </c>
      <c r="N15" s="44" t="str">
        <f t="shared" ca="1" si="8"/>
        <v>O 2° é maior</v>
      </c>
    </row>
  </sheetData>
  <mergeCells count="1">
    <mergeCell ref="E2:N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4312-32FB-4135-8594-A94F88FD74BB}">
  <dimension ref="A2:P21"/>
  <sheetViews>
    <sheetView tabSelected="1" zoomScale="69" zoomScaleNormal="69" workbookViewId="0">
      <selection activeCell="J10" sqref="J10"/>
    </sheetView>
  </sheetViews>
  <sheetFormatPr defaultRowHeight="15" x14ac:dyDescent="0.25"/>
  <cols>
    <col min="1" max="1" width="20.140625" style="51" bestFit="1" customWidth="1"/>
    <col min="2" max="14" width="15.85546875" style="51" customWidth="1"/>
    <col min="15" max="15" width="19.85546875" style="51" customWidth="1"/>
    <col min="16" max="16" width="15.85546875" style="51" customWidth="1"/>
    <col min="17" max="16384" width="9.140625" style="51"/>
  </cols>
  <sheetData>
    <row r="2" spans="1:16" x14ac:dyDescent="0.25">
      <c r="A2" s="56"/>
      <c r="B2" s="56" t="s">
        <v>59</v>
      </c>
      <c r="C2" s="56" t="s">
        <v>60</v>
      </c>
      <c r="D2" s="56" t="s">
        <v>61</v>
      </c>
      <c r="E2" s="56" t="s">
        <v>62</v>
      </c>
      <c r="F2" s="56" t="s">
        <v>63</v>
      </c>
      <c r="G2" s="56" t="s">
        <v>64</v>
      </c>
      <c r="H2" s="56" t="s">
        <v>65</v>
      </c>
      <c r="I2" s="56" t="s">
        <v>66</v>
      </c>
      <c r="J2" s="56" t="s">
        <v>67</v>
      </c>
      <c r="K2" s="56" t="s">
        <v>68</v>
      </c>
      <c r="L2" s="56" t="s">
        <v>69</v>
      </c>
      <c r="M2" s="56" t="s">
        <v>70</v>
      </c>
      <c r="N2" s="56" t="s">
        <v>71</v>
      </c>
      <c r="O2" s="56" t="s">
        <v>72</v>
      </c>
      <c r="P2" s="56" t="s">
        <v>73</v>
      </c>
    </row>
    <row r="3" spans="1:16" ht="18" customHeight="1" x14ac:dyDescent="0.25">
      <c r="A3" s="55" t="s">
        <v>40</v>
      </c>
      <c r="B3" s="52">
        <f ca="1">RANDBETWEEN(1,500)</f>
        <v>405</v>
      </c>
      <c r="C3" s="52">
        <f t="shared" ref="C3:M3" ca="1" si="0">RANDBETWEEN(1,500)</f>
        <v>442</v>
      </c>
      <c r="D3" s="52">
        <f t="shared" ca="1" si="0"/>
        <v>210</v>
      </c>
      <c r="E3" s="52">
        <f t="shared" ca="1" si="0"/>
        <v>319</v>
      </c>
      <c r="F3" s="52">
        <f t="shared" ca="1" si="0"/>
        <v>403</v>
      </c>
      <c r="G3" s="52">
        <f t="shared" ca="1" si="0"/>
        <v>308</v>
      </c>
      <c r="H3" s="52">
        <f t="shared" ca="1" si="0"/>
        <v>164</v>
      </c>
      <c r="I3" s="52">
        <f t="shared" ca="1" si="0"/>
        <v>84</v>
      </c>
      <c r="J3" s="52">
        <f t="shared" ca="1" si="0"/>
        <v>492</v>
      </c>
      <c r="K3" s="52">
        <f t="shared" ca="1" si="0"/>
        <v>492</v>
      </c>
      <c r="L3" s="52">
        <f t="shared" ca="1" si="0"/>
        <v>251</v>
      </c>
      <c r="M3" s="52">
        <f t="shared" ca="1" si="0"/>
        <v>22</v>
      </c>
      <c r="N3" s="57">
        <f ca="1">AVERAGE(B3:M3)</f>
        <v>299.33333333333331</v>
      </c>
      <c r="O3" s="54" t="str">
        <f ca="1">IF(N3&lt;=199,"Vendeu pouco",IF(N3&lt;=299,"Vendeu bem","Vendeu demais"))</f>
        <v>Vendeu demais</v>
      </c>
      <c r="P3" s="53">
        <f ca="1">SUM(B3:M3)</f>
        <v>3592</v>
      </c>
    </row>
    <row r="4" spans="1:16" ht="18" customHeight="1" x14ac:dyDescent="0.25">
      <c r="A4" s="55" t="s">
        <v>41</v>
      </c>
      <c r="B4" s="52">
        <f t="shared" ref="B4:B21" ca="1" si="1">RANDBETWEEN(1,500)</f>
        <v>492</v>
      </c>
      <c r="C4" s="52">
        <f t="shared" ref="C4:M21" ca="1" si="2">RANDBETWEEN(1,500)</f>
        <v>440</v>
      </c>
      <c r="D4" s="52">
        <f t="shared" ca="1" si="2"/>
        <v>236</v>
      </c>
      <c r="E4" s="52">
        <f t="shared" ca="1" si="2"/>
        <v>114</v>
      </c>
      <c r="F4" s="52">
        <f t="shared" ca="1" si="2"/>
        <v>158</v>
      </c>
      <c r="G4" s="52">
        <f t="shared" ca="1" si="2"/>
        <v>155</v>
      </c>
      <c r="H4" s="52">
        <f t="shared" ca="1" si="2"/>
        <v>422</v>
      </c>
      <c r="I4" s="52">
        <f t="shared" ca="1" si="2"/>
        <v>134</v>
      </c>
      <c r="J4" s="52">
        <f t="shared" ca="1" si="2"/>
        <v>69</v>
      </c>
      <c r="K4" s="52">
        <f t="shared" ca="1" si="2"/>
        <v>244</v>
      </c>
      <c r="L4" s="52">
        <f t="shared" ca="1" si="2"/>
        <v>178</v>
      </c>
      <c r="M4" s="52">
        <f t="shared" ca="1" si="2"/>
        <v>147</v>
      </c>
      <c r="N4" s="57">
        <f t="shared" ref="N4:N21" ca="1" si="3">AVERAGE(B4:M4)</f>
        <v>232.41666666666666</v>
      </c>
      <c r="O4" s="54" t="str">
        <f t="shared" ref="O4:O21" ca="1" si="4">IF(N4&lt;=199,"Vendeu pouco",IF(N4&lt;=299,"Vendeu bem","Vendeu demais"))</f>
        <v>Vendeu bem</v>
      </c>
      <c r="P4" s="53">
        <f t="shared" ref="P4:P21" ca="1" si="5">SUM(B4:M4)</f>
        <v>2789</v>
      </c>
    </row>
    <row r="5" spans="1:16" ht="18" customHeight="1" x14ac:dyDescent="0.25">
      <c r="A5" s="55" t="s">
        <v>42</v>
      </c>
      <c r="B5" s="52">
        <f t="shared" ca="1" si="1"/>
        <v>210</v>
      </c>
      <c r="C5" s="52">
        <f t="shared" ca="1" si="2"/>
        <v>26</v>
      </c>
      <c r="D5" s="52">
        <f t="shared" ca="1" si="2"/>
        <v>140</v>
      </c>
      <c r="E5" s="52">
        <f t="shared" ca="1" si="2"/>
        <v>149</v>
      </c>
      <c r="F5" s="52">
        <f t="shared" ca="1" si="2"/>
        <v>465</v>
      </c>
      <c r="G5" s="52">
        <f t="shared" ca="1" si="2"/>
        <v>352</v>
      </c>
      <c r="H5" s="52">
        <f t="shared" ca="1" si="2"/>
        <v>44</v>
      </c>
      <c r="I5" s="52">
        <f t="shared" ca="1" si="2"/>
        <v>75</v>
      </c>
      <c r="J5" s="52">
        <f t="shared" ca="1" si="2"/>
        <v>465</v>
      </c>
      <c r="K5" s="52">
        <f t="shared" ca="1" si="2"/>
        <v>152</v>
      </c>
      <c r="L5" s="52">
        <f t="shared" ca="1" si="2"/>
        <v>60</v>
      </c>
      <c r="M5" s="52">
        <f t="shared" ca="1" si="2"/>
        <v>50</v>
      </c>
      <c r="N5" s="57">
        <f t="shared" ca="1" si="3"/>
        <v>182.33333333333334</v>
      </c>
      <c r="O5" s="54" t="str">
        <f t="shared" ca="1" si="4"/>
        <v>Vendeu pouco</v>
      </c>
      <c r="P5" s="53">
        <f t="shared" ca="1" si="5"/>
        <v>2188</v>
      </c>
    </row>
    <row r="6" spans="1:16" ht="18" customHeight="1" x14ac:dyDescent="0.25">
      <c r="A6" s="55" t="s">
        <v>43</v>
      </c>
      <c r="B6" s="52">
        <f t="shared" ca="1" si="1"/>
        <v>26</v>
      </c>
      <c r="C6" s="52">
        <f t="shared" ca="1" si="2"/>
        <v>30</v>
      </c>
      <c r="D6" s="52">
        <f t="shared" ca="1" si="2"/>
        <v>412</v>
      </c>
      <c r="E6" s="52">
        <f t="shared" ca="1" si="2"/>
        <v>89</v>
      </c>
      <c r="F6" s="52">
        <f t="shared" ca="1" si="2"/>
        <v>156</v>
      </c>
      <c r="G6" s="52">
        <f t="shared" ca="1" si="2"/>
        <v>226</v>
      </c>
      <c r="H6" s="52">
        <f t="shared" ca="1" si="2"/>
        <v>23</v>
      </c>
      <c r="I6" s="52">
        <f t="shared" ca="1" si="2"/>
        <v>472</v>
      </c>
      <c r="J6" s="52">
        <f t="shared" ca="1" si="2"/>
        <v>477</v>
      </c>
      <c r="K6" s="52">
        <f t="shared" ca="1" si="2"/>
        <v>285</v>
      </c>
      <c r="L6" s="52">
        <f t="shared" ca="1" si="2"/>
        <v>85</v>
      </c>
      <c r="M6" s="52">
        <f t="shared" ca="1" si="2"/>
        <v>91</v>
      </c>
      <c r="N6" s="57">
        <f t="shared" ca="1" si="3"/>
        <v>197.66666666666666</v>
      </c>
      <c r="O6" s="54" t="str">
        <f t="shared" ca="1" si="4"/>
        <v>Vendeu pouco</v>
      </c>
      <c r="P6" s="53">
        <f t="shared" ca="1" si="5"/>
        <v>2372</v>
      </c>
    </row>
    <row r="7" spans="1:16" ht="18" customHeight="1" x14ac:dyDescent="0.25">
      <c r="A7" s="55" t="s">
        <v>44</v>
      </c>
      <c r="B7" s="52">
        <f t="shared" ca="1" si="1"/>
        <v>138</v>
      </c>
      <c r="C7" s="52">
        <f t="shared" ca="1" si="2"/>
        <v>399</v>
      </c>
      <c r="D7" s="52">
        <f t="shared" ca="1" si="2"/>
        <v>136</v>
      </c>
      <c r="E7" s="52">
        <f t="shared" ca="1" si="2"/>
        <v>89</v>
      </c>
      <c r="F7" s="52">
        <f t="shared" ca="1" si="2"/>
        <v>88</v>
      </c>
      <c r="G7" s="52">
        <f t="shared" ca="1" si="2"/>
        <v>473</v>
      </c>
      <c r="H7" s="52">
        <f t="shared" ca="1" si="2"/>
        <v>147</v>
      </c>
      <c r="I7" s="52">
        <f t="shared" ca="1" si="2"/>
        <v>12</v>
      </c>
      <c r="J7" s="52">
        <f t="shared" ca="1" si="2"/>
        <v>107</v>
      </c>
      <c r="K7" s="52">
        <f t="shared" ca="1" si="2"/>
        <v>60</v>
      </c>
      <c r="L7" s="52">
        <f t="shared" ca="1" si="2"/>
        <v>391</v>
      </c>
      <c r="M7" s="52">
        <f t="shared" ca="1" si="2"/>
        <v>425</v>
      </c>
      <c r="N7" s="57">
        <f t="shared" ca="1" si="3"/>
        <v>205.41666666666666</v>
      </c>
      <c r="O7" s="54" t="str">
        <f t="shared" ca="1" si="4"/>
        <v>Vendeu bem</v>
      </c>
      <c r="P7" s="53">
        <f t="shared" ca="1" si="5"/>
        <v>2465</v>
      </c>
    </row>
    <row r="8" spans="1:16" ht="18" customHeight="1" x14ac:dyDescent="0.25">
      <c r="A8" s="55" t="s">
        <v>45</v>
      </c>
      <c r="B8" s="52">
        <f t="shared" ca="1" si="1"/>
        <v>67</v>
      </c>
      <c r="C8" s="52">
        <f t="shared" ca="1" si="2"/>
        <v>364</v>
      </c>
      <c r="D8" s="52">
        <f t="shared" ca="1" si="2"/>
        <v>444</v>
      </c>
      <c r="E8" s="52">
        <f t="shared" ca="1" si="2"/>
        <v>366</v>
      </c>
      <c r="F8" s="52">
        <f t="shared" ca="1" si="2"/>
        <v>319</v>
      </c>
      <c r="G8" s="52">
        <f t="shared" ca="1" si="2"/>
        <v>81</v>
      </c>
      <c r="H8" s="52">
        <f t="shared" ca="1" si="2"/>
        <v>98</v>
      </c>
      <c r="I8" s="52">
        <f t="shared" ca="1" si="2"/>
        <v>119</v>
      </c>
      <c r="J8" s="52">
        <f t="shared" ca="1" si="2"/>
        <v>405</v>
      </c>
      <c r="K8" s="52">
        <f t="shared" ca="1" si="2"/>
        <v>297</v>
      </c>
      <c r="L8" s="52">
        <f t="shared" ca="1" si="2"/>
        <v>278</v>
      </c>
      <c r="M8" s="52">
        <f t="shared" ca="1" si="2"/>
        <v>24</v>
      </c>
      <c r="N8" s="57">
        <f t="shared" ca="1" si="3"/>
        <v>238.5</v>
      </c>
      <c r="O8" s="54" t="str">
        <f t="shared" ca="1" si="4"/>
        <v>Vendeu bem</v>
      </c>
      <c r="P8" s="53">
        <f t="shared" ca="1" si="5"/>
        <v>2862</v>
      </c>
    </row>
    <row r="9" spans="1:16" ht="18" customHeight="1" x14ac:dyDescent="0.25">
      <c r="A9" s="55" t="s">
        <v>46</v>
      </c>
      <c r="B9" s="52">
        <f t="shared" ca="1" si="1"/>
        <v>320</v>
      </c>
      <c r="C9" s="52">
        <f t="shared" ca="1" si="2"/>
        <v>261</v>
      </c>
      <c r="D9" s="52">
        <f t="shared" ca="1" si="2"/>
        <v>231</v>
      </c>
      <c r="E9" s="52">
        <f t="shared" ca="1" si="2"/>
        <v>402</v>
      </c>
      <c r="F9" s="52">
        <f t="shared" ca="1" si="2"/>
        <v>8</v>
      </c>
      <c r="G9" s="52">
        <f t="shared" ca="1" si="2"/>
        <v>416</v>
      </c>
      <c r="H9" s="52">
        <f t="shared" ca="1" si="2"/>
        <v>412</v>
      </c>
      <c r="I9" s="52">
        <f t="shared" ca="1" si="2"/>
        <v>217</v>
      </c>
      <c r="J9" s="52">
        <f t="shared" ca="1" si="2"/>
        <v>258</v>
      </c>
      <c r="K9" s="52">
        <f t="shared" ca="1" si="2"/>
        <v>193</v>
      </c>
      <c r="L9" s="52">
        <f t="shared" ca="1" si="2"/>
        <v>198</v>
      </c>
      <c r="M9" s="52">
        <f t="shared" ca="1" si="2"/>
        <v>324</v>
      </c>
      <c r="N9" s="57">
        <f t="shared" ca="1" si="3"/>
        <v>270</v>
      </c>
      <c r="O9" s="54" t="str">
        <f t="shared" ca="1" si="4"/>
        <v>Vendeu bem</v>
      </c>
      <c r="P9" s="53">
        <f t="shared" ca="1" si="5"/>
        <v>3240</v>
      </c>
    </row>
    <row r="10" spans="1:16" ht="18" customHeight="1" x14ac:dyDescent="0.25">
      <c r="A10" s="55" t="s">
        <v>47</v>
      </c>
      <c r="B10" s="52">
        <f t="shared" ca="1" si="1"/>
        <v>131</v>
      </c>
      <c r="C10" s="52">
        <f t="shared" ca="1" si="2"/>
        <v>36</v>
      </c>
      <c r="D10" s="52">
        <f t="shared" ca="1" si="2"/>
        <v>6</v>
      </c>
      <c r="E10" s="52">
        <f t="shared" ca="1" si="2"/>
        <v>381</v>
      </c>
      <c r="F10" s="52">
        <f t="shared" ca="1" si="2"/>
        <v>107</v>
      </c>
      <c r="G10" s="52">
        <f t="shared" ca="1" si="2"/>
        <v>67</v>
      </c>
      <c r="H10" s="52">
        <f t="shared" ca="1" si="2"/>
        <v>279</v>
      </c>
      <c r="I10" s="52">
        <f t="shared" ca="1" si="2"/>
        <v>105</v>
      </c>
      <c r="J10" s="52">
        <f t="shared" ca="1" si="2"/>
        <v>51</v>
      </c>
      <c r="K10" s="52">
        <f t="shared" ca="1" si="2"/>
        <v>361</v>
      </c>
      <c r="L10" s="52">
        <f t="shared" ca="1" si="2"/>
        <v>491</v>
      </c>
      <c r="M10" s="52">
        <f t="shared" ca="1" si="2"/>
        <v>343</v>
      </c>
      <c r="N10" s="57">
        <f t="shared" ca="1" si="3"/>
        <v>196.5</v>
      </c>
      <c r="O10" s="54" t="str">
        <f t="shared" ca="1" si="4"/>
        <v>Vendeu pouco</v>
      </c>
      <c r="P10" s="53">
        <f t="shared" ca="1" si="5"/>
        <v>2358</v>
      </c>
    </row>
    <row r="11" spans="1:16" ht="18" customHeight="1" x14ac:dyDescent="0.25">
      <c r="A11" s="55" t="s">
        <v>48</v>
      </c>
      <c r="B11" s="52">
        <f t="shared" ca="1" si="1"/>
        <v>393</v>
      </c>
      <c r="C11" s="52">
        <f t="shared" ca="1" si="2"/>
        <v>246</v>
      </c>
      <c r="D11" s="52">
        <f t="shared" ca="1" si="2"/>
        <v>294</v>
      </c>
      <c r="E11" s="52">
        <f t="shared" ca="1" si="2"/>
        <v>240</v>
      </c>
      <c r="F11" s="52">
        <f t="shared" ca="1" si="2"/>
        <v>389</v>
      </c>
      <c r="G11" s="52">
        <f t="shared" ca="1" si="2"/>
        <v>345</v>
      </c>
      <c r="H11" s="52">
        <f t="shared" ca="1" si="2"/>
        <v>283</v>
      </c>
      <c r="I11" s="52">
        <f t="shared" ca="1" si="2"/>
        <v>16</v>
      </c>
      <c r="J11" s="52">
        <f t="shared" ca="1" si="2"/>
        <v>70</v>
      </c>
      <c r="K11" s="52">
        <f t="shared" ca="1" si="2"/>
        <v>274</v>
      </c>
      <c r="L11" s="52">
        <f t="shared" ca="1" si="2"/>
        <v>472</v>
      </c>
      <c r="M11" s="52">
        <f t="shared" ca="1" si="2"/>
        <v>279</v>
      </c>
      <c r="N11" s="57">
        <f t="shared" ca="1" si="3"/>
        <v>275.08333333333331</v>
      </c>
      <c r="O11" s="54" t="str">
        <f t="shared" ca="1" si="4"/>
        <v>Vendeu bem</v>
      </c>
      <c r="P11" s="53">
        <f t="shared" ca="1" si="5"/>
        <v>3301</v>
      </c>
    </row>
    <row r="12" spans="1:16" ht="18" customHeight="1" x14ac:dyDescent="0.25">
      <c r="A12" s="55" t="s">
        <v>49</v>
      </c>
      <c r="B12" s="52">
        <f t="shared" ca="1" si="1"/>
        <v>146</v>
      </c>
      <c r="C12" s="52">
        <f t="shared" ca="1" si="2"/>
        <v>269</v>
      </c>
      <c r="D12" s="52">
        <f t="shared" ca="1" si="2"/>
        <v>219</v>
      </c>
      <c r="E12" s="52">
        <f t="shared" ca="1" si="2"/>
        <v>426</v>
      </c>
      <c r="F12" s="52">
        <f t="shared" ca="1" si="2"/>
        <v>241</v>
      </c>
      <c r="G12" s="52">
        <f t="shared" ca="1" si="2"/>
        <v>188</v>
      </c>
      <c r="H12" s="52">
        <f t="shared" ca="1" si="2"/>
        <v>258</v>
      </c>
      <c r="I12" s="52">
        <f t="shared" ca="1" si="2"/>
        <v>393</v>
      </c>
      <c r="J12" s="52">
        <f t="shared" ca="1" si="2"/>
        <v>277</v>
      </c>
      <c r="K12" s="52">
        <f t="shared" ca="1" si="2"/>
        <v>472</v>
      </c>
      <c r="L12" s="52">
        <f t="shared" ca="1" si="2"/>
        <v>94</v>
      </c>
      <c r="M12" s="52">
        <f t="shared" ca="1" si="2"/>
        <v>474</v>
      </c>
      <c r="N12" s="57">
        <f t="shared" ca="1" si="3"/>
        <v>288.08333333333331</v>
      </c>
      <c r="O12" s="54" t="str">
        <f t="shared" ca="1" si="4"/>
        <v>Vendeu bem</v>
      </c>
      <c r="P12" s="53">
        <f t="shared" ca="1" si="5"/>
        <v>3457</v>
      </c>
    </row>
    <row r="13" spans="1:16" ht="18" customHeight="1" x14ac:dyDescent="0.25">
      <c r="A13" s="55" t="s">
        <v>50</v>
      </c>
      <c r="B13" s="52">
        <f t="shared" ca="1" si="1"/>
        <v>184</v>
      </c>
      <c r="C13" s="52">
        <f t="shared" ca="1" si="2"/>
        <v>358</v>
      </c>
      <c r="D13" s="52">
        <f t="shared" ca="1" si="2"/>
        <v>438</v>
      </c>
      <c r="E13" s="52">
        <f t="shared" ca="1" si="2"/>
        <v>393</v>
      </c>
      <c r="F13" s="52">
        <f t="shared" ca="1" si="2"/>
        <v>416</v>
      </c>
      <c r="G13" s="52">
        <f t="shared" ca="1" si="2"/>
        <v>311</v>
      </c>
      <c r="H13" s="52">
        <f t="shared" ca="1" si="2"/>
        <v>12</v>
      </c>
      <c r="I13" s="52">
        <f t="shared" ca="1" si="2"/>
        <v>372</v>
      </c>
      <c r="J13" s="52">
        <f t="shared" ca="1" si="2"/>
        <v>497</v>
      </c>
      <c r="K13" s="52">
        <f t="shared" ca="1" si="2"/>
        <v>151</v>
      </c>
      <c r="L13" s="52">
        <f t="shared" ca="1" si="2"/>
        <v>340</v>
      </c>
      <c r="M13" s="52">
        <f t="shared" ca="1" si="2"/>
        <v>233</v>
      </c>
      <c r="N13" s="57">
        <f t="shared" ca="1" si="3"/>
        <v>308.75</v>
      </c>
      <c r="O13" s="54" t="str">
        <f t="shared" ca="1" si="4"/>
        <v>Vendeu demais</v>
      </c>
      <c r="P13" s="53">
        <f t="shared" ca="1" si="5"/>
        <v>3705</v>
      </c>
    </row>
    <row r="14" spans="1:16" ht="18" customHeight="1" x14ac:dyDescent="0.25">
      <c r="A14" s="55" t="s">
        <v>51</v>
      </c>
      <c r="B14" s="52">
        <f t="shared" ca="1" si="1"/>
        <v>310</v>
      </c>
      <c r="C14" s="52">
        <f t="shared" ca="1" si="2"/>
        <v>190</v>
      </c>
      <c r="D14" s="52">
        <f t="shared" ca="1" si="2"/>
        <v>180</v>
      </c>
      <c r="E14" s="52">
        <f t="shared" ca="1" si="2"/>
        <v>177</v>
      </c>
      <c r="F14" s="52">
        <f t="shared" ca="1" si="2"/>
        <v>417</v>
      </c>
      <c r="G14" s="52">
        <f t="shared" ca="1" si="2"/>
        <v>488</v>
      </c>
      <c r="H14" s="52">
        <f t="shared" ca="1" si="2"/>
        <v>107</v>
      </c>
      <c r="I14" s="52">
        <f t="shared" ca="1" si="2"/>
        <v>82</v>
      </c>
      <c r="J14" s="52">
        <f t="shared" ca="1" si="2"/>
        <v>109</v>
      </c>
      <c r="K14" s="52">
        <f t="shared" ca="1" si="2"/>
        <v>56</v>
      </c>
      <c r="L14" s="52">
        <f t="shared" ca="1" si="2"/>
        <v>39</v>
      </c>
      <c r="M14" s="52">
        <f t="shared" ca="1" si="2"/>
        <v>166</v>
      </c>
      <c r="N14" s="57">
        <f t="shared" ca="1" si="3"/>
        <v>193.41666666666666</v>
      </c>
      <c r="O14" s="54" t="str">
        <f t="shared" ca="1" si="4"/>
        <v>Vendeu pouco</v>
      </c>
      <c r="P14" s="53">
        <f t="shared" ca="1" si="5"/>
        <v>2321</v>
      </c>
    </row>
    <row r="15" spans="1:16" ht="18" customHeight="1" x14ac:dyDescent="0.25">
      <c r="A15" s="55" t="s">
        <v>52</v>
      </c>
      <c r="B15" s="52">
        <f t="shared" ca="1" si="1"/>
        <v>374</v>
      </c>
      <c r="C15" s="52">
        <f t="shared" ca="1" si="2"/>
        <v>427</v>
      </c>
      <c r="D15" s="52">
        <f t="shared" ca="1" si="2"/>
        <v>179</v>
      </c>
      <c r="E15" s="52">
        <f t="shared" ca="1" si="2"/>
        <v>300</v>
      </c>
      <c r="F15" s="52">
        <f t="shared" ca="1" si="2"/>
        <v>141</v>
      </c>
      <c r="G15" s="52">
        <f t="shared" ca="1" si="2"/>
        <v>65</v>
      </c>
      <c r="H15" s="52">
        <f t="shared" ca="1" si="2"/>
        <v>473</v>
      </c>
      <c r="I15" s="52">
        <f t="shared" ca="1" si="2"/>
        <v>174</v>
      </c>
      <c r="J15" s="52">
        <f t="shared" ca="1" si="2"/>
        <v>155</v>
      </c>
      <c r="K15" s="52">
        <f t="shared" ca="1" si="2"/>
        <v>127</v>
      </c>
      <c r="L15" s="52">
        <f t="shared" ca="1" si="2"/>
        <v>362</v>
      </c>
      <c r="M15" s="52">
        <f t="shared" ca="1" si="2"/>
        <v>363</v>
      </c>
      <c r="N15" s="57">
        <f t="shared" ca="1" si="3"/>
        <v>261.66666666666669</v>
      </c>
      <c r="O15" s="54" t="str">
        <f t="shared" ca="1" si="4"/>
        <v>Vendeu bem</v>
      </c>
      <c r="P15" s="53">
        <f t="shared" ca="1" si="5"/>
        <v>3140</v>
      </c>
    </row>
    <row r="16" spans="1:16" ht="18" customHeight="1" x14ac:dyDescent="0.25">
      <c r="A16" s="55" t="s">
        <v>53</v>
      </c>
      <c r="B16" s="52">
        <f t="shared" ca="1" si="1"/>
        <v>172</v>
      </c>
      <c r="C16" s="52">
        <f t="shared" ca="1" si="2"/>
        <v>163</v>
      </c>
      <c r="D16" s="52">
        <f t="shared" ca="1" si="2"/>
        <v>220</v>
      </c>
      <c r="E16" s="52">
        <f t="shared" ca="1" si="2"/>
        <v>305</v>
      </c>
      <c r="F16" s="52">
        <f t="shared" ca="1" si="2"/>
        <v>6</v>
      </c>
      <c r="G16" s="52">
        <f t="shared" ca="1" si="2"/>
        <v>483</v>
      </c>
      <c r="H16" s="52">
        <f t="shared" ca="1" si="2"/>
        <v>21</v>
      </c>
      <c r="I16" s="52">
        <f t="shared" ca="1" si="2"/>
        <v>25</v>
      </c>
      <c r="J16" s="52">
        <f t="shared" ca="1" si="2"/>
        <v>352</v>
      </c>
      <c r="K16" s="52">
        <f t="shared" ca="1" si="2"/>
        <v>101</v>
      </c>
      <c r="L16" s="52">
        <f t="shared" ca="1" si="2"/>
        <v>82</v>
      </c>
      <c r="M16" s="52">
        <f t="shared" ca="1" si="2"/>
        <v>213</v>
      </c>
      <c r="N16" s="57">
        <f t="shared" ca="1" si="3"/>
        <v>178.58333333333334</v>
      </c>
      <c r="O16" s="54" t="str">
        <f t="shared" ca="1" si="4"/>
        <v>Vendeu pouco</v>
      </c>
      <c r="P16" s="53">
        <f t="shared" ca="1" si="5"/>
        <v>2143</v>
      </c>
    </row>
    <row r="17" spans="1:16" ht="18" customHeight="1" x14ac:dyDescent="0.25">
      <c r="A17" s="55" t="s">
        <v>54</v>
      </c>
      <c r="B17" s="52">
        <f t="shared" ca="1" si="1"/>
        <v>316</v>
      </c>
      <c r="C17" s="52">
        <f t="shared" ca="1" si="2"/>
        <v>475</v>
      </c>
      <c r="D17" s="52">
        <f t="shared" ca="1" si="2"/>
        <v>330</v>
      </c>
      <c r="E17" s="52">
        <f t="shared" ca="1" si="2"/>
        <v>480</v>
      </c>
      <c r="F17" s="52">
        <f t="shared" ca="1" si="2"/>
        <v>337</v>
      </c>
      <c r="G17" s="52">
        <f t="shared" ca="1" si="2"/>
        <v>256</v>
      </c>
      <c r="H17" s="52">
        <f t="shared" ca="1" si="2"/>
        <v>467</v>
      </c>
      <c r="I17" s="52">
        <f t="shared" ca="1" si="2"/>
        <v>130</v>
      </c>
      <c r="J17" s="52">
        <f t="shared" ca="1" si="2"/>
        <v>413</v>
      </c>
      <c r="K17" s="52">
        <f t="shared" ca="1" si="2"/>
        <v>195</v>
      </c>
      <c r="L17" s="52">
        <f t="shared" ca="1" si="2"/>
        <v>48</v>
      </c>
      <c r="M17" s="52">
        <f t="shared" ca="1" si="2"/>
        <v>73</v>
      </c>
      <c r="N17" s="57">
        <f t="shared" ca="1" si="3"/>
        <v>293.33333333333331</v>
      </c>
      <c r="O17" s="54" t="str">
        <f t="shared" ca="1" si="4"/>
        <v>Vendeu bem</v>
      </c>
      <c r="P17" s="53">
        <f t="shared" ca="1" si="5"/>
        <v>3520</v>
      </c>
    </row>
    <row r="18" spans="1:16" ht="18" customHeight="1" x14ac:dyDescent="0.25">
      <c r="A18" s="55" t="s">
        <v>55</v>
      </c>
      <c r="B18" s="52">
        <f t="shared" ca="1" si="1"/>
        <v>216</v>
      </c>
      <c r="C18" s="52">
        <f t="shared" ca="1" si="2"/>
        <v>28</v>
      </c>
      <c r="D18" s="52">
        <f t="shared" ca="1" si="2"/>
        <v>49</v>
      </c>
      <c r="E18" s="52">
        <f t="shared" ca="1" si="2"/>
        <v>111</v>
      </c>
      <c r="F18" s="52">
        <f t="shared" ca="1" si="2"/>
        <v>384</v>
      </c>
      <c r="G18" s="52">
        <f t="shared" ca="1" si="2"/>
        <v>363</v>
      </c>
      <c r="H18" s="52">
        <f t="shared" ca="1" si="2"/>
        <v>50</v>
      </c>
      <c r="I18" s="52">
        <f t="shared" ca="1" si="2"/>
        <v>240</v>
      </c>
      <c r="J18" s="52">
        <f t="shared" ca="1" si="2"/>
        <v>32</v>
      </c>
      <c r="K18" s="52">
        <f t="shared" ca="1" si="2"/>
        <v>415</v>
      </c>
      <c r="L18" s="52">
        <f t="shared" ca="1" si="2"/>
        <v>187</v>
      </c>
      <c r="M18" s="52">
        <f t="shared" ca="1" si="2"/>
        <v>285</v>
      </c>
      <c r="N18" s="57">
        <f t="shared" ca="1" si="3"/>
        <v>196.66666666666666</v>
      </c>
      <c r="O18" s="54" t="str">
        <f t="shared" ca="1" si="4"/>
        <v>Vendeu pouco</v>
      </c>
      <c r="P18" s="53">
        <f t="shared" ca="1" si="5"/>
        <v>2360</v>
      </c>
    </row>
    <row r="19" spans="1:16" ht="18" customHeight="1" x14ac:dyDescent="0.25">
      <c r="A19" s="55" t="s">
        <v>56</v>
      </c>
      <c r="B19" s="52">
        <f t="shared" ca="1" si="1"/>
        <v>116</v>
      </c>
      <c r="C19" s="52">
        <f t="shared" ca="1" si="2"/>
        <v>456</v>
      </c>
      <c r="D19" s="52">
        <f t="shared" ca="1" si="2"/>
        <v>278</v>
      </c>
      <c r="E19" s="52">
        <f t="shared" ca="1" si="2"/>
        <v>194</v>
      </c>
      <c r="F19" s="52">
        <f t="shared" ca="1" si="2"/>
        <v>187</v>
      </c>
      <c r="G19" s="52">
        <f t="shared" ca="1" si="2"/>
        <v>417</v>
      </c>
      <c r="H19" s="52">
        <f t="shared" ca="1" si="2"/>
        <v>45</v>
      </c>
      <c r="I19" s="52">
        <f t="shared" ca="1" si="2"/>
        <v>181</v>
      </c>
      <c r="J19" s="52">
        <f t="shared" ca="1" si="2"/>
        <v>283</v>
      </c>
      <c r="K19" s="52">
        <f t="shared" ca="1" si="2"/>
        <v>480</v>
      </c>
      <c r="L19" s="52">
        <f t="shared" ca="1" si="2"/>
        <v>380</v>
      </c>
      <c r="M19" s="52">
        <f t="shared" ca="1" si="2"/>
        <v>67</v>
      </c>
      <c r="N19" s="57">
        <f t="shared" ca="1" si="3"/>
        <v>257</v>
      </c>
      <c r="O19" s="54" t="str">
        <f t="shared" ca="1" si="4"/>
        <v>Vendeu bem</v>
      </c>
      <c r="P19" s="53">
        <f t="shared" ca="1" si="5"/>
        <v>3084</v>
      </c>
    </row>
    <row r="20" spans="1:16" ht="18" customHeight="1" x14ac:dyDescent="0.25">
      <c r="A20" s="55" t="s">
        <v>57</v>
      </c>
      <c r="B20" s="52">
        <f t="shared" ca="1" si="1"/>
        <v>103</v>
      </c>
      <c r="C20" s="52">
        <f t="shared" ca="1" si="2"/>
        <v>61</v>
      </c>
      <c r="D20" s="52">
        <f t="shared" ca="1" si="2"/>
        <v>210</v>
      </c>
      <c r="E20" s="52">
        <f t="shared" ca="1" si="2"/>
        <v>107</v>
      </c>
      <c r="F20" s="52">
        <f t="shared" ca="1" si="2"/>
        <v>323</v>
      </c>
      <c r="G20" s="52">
        <f t="shared" ca="1" si="2"/>
        <v>296</v>
      </c>
      <c r="H20" s="52">
        <f t="shared" ca="1" si="2"/>
        <v>246</v>
      </c>
      <c r="I20" s="52">
        <f t="shared" ca="1" si="2"/>
        <v>231</v>
      </c>
      <c r="J20" s="52">
        <f t="shared" ca="1" si="2"/>
        <v>140</v>
      </c>
      <c r="K20" s="52">
        <f t="shared" ca="1" si="2"/>
        <v>374</v>
      </c>
      <c r="L20" s="52">
        <f t="shared" ca="1" si="2"/>
        <v>135</v>
      </c>
      <c r="M20" s="52">
        <f t="shared" ca="1" si="2"/>
        <v>220</v>
      </c>
      <c r="N20" s="57">
        <f t="shared" ca="1" si="3"/>
        <v>203.83333333333334</v>
      </c>
      <c r="O20" s="54" t="str">
        <f t="shared" ca="1" si="4"/>
        <v>Vendeu bem</v>
      </c>
      <c r="P20" s="53">
        <f t="shared" ca="1" si="5"/>
        <v>2446</v>
      </c>
    </row>
    <row r="21" spans="1:16" ht="18" customHeight="1" x14ac:dyDescent="0.25">
      <c r="A21" s="55" t="s">
        <v>58</v>
      </c>
      <c r="B21" s="52">
        <f t="shared" ca="1" si="1"/>
        <v>29</v>
      </c>
      <c r="C21" s="52">
        <f t="shared" ca="1" si="2"/>
        <v>353</v>
      </c>
      <c r="D21" s="52">
        <f t="shared" ca="1" si="2"/>
        <v>481</v>
      </c>
      <c r="E21" s="52">
        <f t="shared" ca="1" si="2"/>
        <v>8</v>
      </c>
      <c r="F21" s="52">
        <f t="shared" ca="1" si="2"/>
        <v>32</v>
      </c>
      <c r="G21" s="52">
        <f t="shared" ca="1" si="2"/>
        <v>435</v>
      </c>
      <c r="H21" s="52">
        <f t="shared" ca="1" si="2"/>
        <v>319</v>
      </c>
      <c r="I21" s="52">
        <f t="shared" ca="1" si="2"/>
        <v>471</v>
      </c>
      <c r="J21" s="52">
        <f t="shared" ca="1" si="2"/>
        <v>420</v>
      </c>
      <c r="K21" s="52">
        <f t="shared" ca="1" si="2"/>
        <v>367</v>
      </c>
      <c r="L21" s="52">
        <f t="shared" ca="1" si="2"/>
        <v>303</v>
      </c>
      <c r="M21" s="52">
        <f t="shared" ca="1" si="2"/>
        <v>387</v>
      </c>
      <c r="N21" s="57">
        <f t="shared" ca="1" si="3"/>
        <v>300.41666666666669</v>
      </c>
      <c r="O21" s="54" t="str">
        <f t="shared" ca="1" si="4"/>
        <v>Vendeu demais</v>
      </c>
      <c r="P21" s="53">
        <f t="shared" ca="1" si="5"/>
        <v>3605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</vt:lpstr>
      <vt:lpstr>Compras</vt:lpstr>
      <vt:lpstr>Tabela Números</vt:lpstr>
      <vt:lpstr>Tabela Funções</vt:lpstr>
      <vt:lpstr>PROCV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2026-04-07T18:02:47Z</dcterms:created>
  <dcterms:modified xsi:type="dcterms:W3CDTF">2026-04-17T01:20:19Z</dcterms:modified>
</cp:coreProperties>
</file>